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<sst xmlns="http://schemas.openxmlformats.org/spreadsheetml/2006/main" count="13" uniqueCount="13">
  <si>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Data</t>
  </si>
  <si>
    <t xml:space="preserve">Wartość  kumulowana</t>
  </si>
  <si>
    <t xml:space="preserve">Wypłaty</t>
  </si>
  <si>
    <t xml:space="preserve">Saldo końcowe</t>
  </si>
  <si>
    <t xml:space="preserve">Odsetki dzienne</t>
  </si>
  <si>
    <t xml:space="preserve">Naliczanie dzień po dniu</t>
  </si>
  <si>
    <t xml:space="preserve">Realizacja odsetek</t>
  </si>
  <si>
    <t xml:space="preserve"> odsetki za 3 msc</t>
  </si>
  <si>
    <t xml:space="preserve">suma wypłat</t>
  </si>
  <si>
    <t xml:space="preserve">suma wypłaconych odsetek</t>
  </si>
  <si>
    <t xml:space="preserve">suma odsetek</t>
  </si>
  <si>
    <t xml:space="preserve">Saldo roczne  15% bez wypłat</t>
  </si>
  <si>
    <t xml:space="preserve">do wypłaty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</si>
</sst>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0"/>
    <numFmt numFmtId="167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3"/>
  <sheetViews>
    <sheetView showFormulas="false" showGridLines="true" showRowColHeaders="true" showZeros="true" rightToLeft="false" tabSelected="true" showOutlineSymbols="true" defaultGridColor="true" view="normal" topLeftCell="A303" colorId="64" zoomScale="100" zoomScaleNormal="100" zoomScalePageLayoutView="100" workbookViewId="0">
      <selection pane="topLeft" activeCell="I371" activeCellId="0" sqref="I37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.53"/>
    <col collapsed="false" customWidth="true" hidden="false" outlineLevel="0" max="2" min="2" style="0" width="20.63"/>
    <col collapsed="false" customWidth="true" hidden="false" outlineLevel="0" max="3" min="3" style="0" width="16.74"/>
    <col collapsed="false" customWidth="true" hidden="false" outlineLevel="0" max="4" min="4" style="0" width="14.51"/>
    <col collapsed="false" customWidth="true" hidden="false" outlineLevel="0" max="5" min="5" style="0" width="18.82"/>
    <col collapsed="false" customWidth="true" hidden="false" outlineLevel="0" max="6" min="6" style="0" width="22.58"/>
    <col collapsed="false" customWidth="true" hidden="false" outlineLevel="0" max="9" min="7" style="0" width="16.7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45413</v>
      </c>
      <c r="B2" s="3" t="n">
        <v>150000</v>
      </c>
      <c r="C2" s="4"/>
      <c r="D2" s="3" t="n">
        <f aca="false">B2-C2</f>
        <v>150000</v>
      </c>
      <c r="E2" s="4" t="n">
        <f aca="false">D2*15%/365</f>
        <v>61.6438356164384</v>
      </c>
      <c r="F2" s="3" t="n">
        <f aca="false">E2</f>
        <v>61.6438356164384</v>
      </c>
      <c r="G2" s="4"/>
    </row>
    <row r="3" customFormat="false" ht="15" hidden="false" customHeight="false" outlineLevel="0" collapsed="false">
      <c r="A3" s="2" t="n">
        <v>45414</v>
      </c>
      <c r="B3" s="3" t="n">
        <f aca="false">B2+E2</f>
        <v>150061.643835616</v>
      </c>
      <c r="C3" s="4"/>
      <c r="D3" s="3" t="n">
        <f aca="false">D2-C3</f>
        <v>150000</v>
      </c>
      <c r="E3" s="4" t="n">
        <f aca="false">D3*15%/365</f>
        <v>61.6438356164384</v>
      </c>
      <c r="F3" s="3" t="n">
        <f aca="false">F2+E3</f>
        <v>123.287671232877</v>
      </c>
      <c r="G3" s="4"/>
    </row>
    <row r="4" customFormat="false" ht="15" hidden="false" customHeight="false" outlineLevel="0" collapsed="false">
      <c r="A4" s="2" t="n">
        <v>45415</v>
      </c>
      <c r="B4" s="3" t="n">
        <f aca="false">B3+E3</f>
        <v>150123.287671233</v>
      </c>
      <c r="C4" s="4"/>
      <c r="D4" s="3" t="n">
        <f aca="false">D3-C4</f>
        <v>150000</v>
      </c>
      <c r="E4" s="4" t="n">
        <f aca="false">D4*15%/365</f>
        <v>61.6438356164384</v>
      </c>
      <c r="F4" s="3" t="n">
        <f aca="false">F3+E4</f>
        <v>184.931506849315</v>
      </c>
      <c r="G4" s="4"/>
    </row>
    <row r="5" customFormat="false" ht="15" hidden="false" customHeight="false" outlineLevel="0" collapsed="false">
      <c r="A5" s="2" t="n">
        <v>45416</v>
      </c>
      <c r="B5" s="3" t="n">
        <f aca="false">B4+E4</f>
        <v>150184.931506849</v>
      </c>
      <c r="C5" s="4"/>
      <c r="D5" s="3" t="n">
        <f aca="false">D4-C5</f>
        <v>150000</v>
      </c>
      <c r="E5" s="4" t="n">
        <f aca="false">D5*15%/365</f>
        <v>61.6438356164384</v>
      </c>
      <c r="F5" s="3" t="n">
        <f aca="false">F4+E5</f>
        <v>246.575342465753</v>
      </c>
      <c r="G5" s="4"/>
    </row>
    <row r="6" customFormat="false" ht="15" hidden="false" customHeight="false" outlineLevel="0" collapsed="false">
      <c r="A6" s="2" t="n">
        <v>45417</v>
      </c>
      <c r="B6" s="3" t="n">
        <f aca="false">B5+E5</f>
        <v>150246.575342466</v>
      </c>
      <c r="C6" s="4"/>
      <c r="D6" s="3" t="n">
        <f aca="false">D5-C6</f>
        <v>150000</v>
      </c>
      <c r="E6" s="4" t="n">
        <f aca="false">D6*15%/365</f>
        <v>61.6438356164384</v>
      </c>
      <c r="F6" s="3" t="n">
        <f aca="false">F5+E6</f>
        <v>308.219178082192</v>
      </c>
      <c r="G6" s="4"/>
    </row>
    <row r="7" customFormat="false" ht="15" hidden="false" customHeight="false" outlineLevel="0" collapsed="false">
      <c r="A7" s="2" t="n">
        <v>45418</v>
      </c>
      <c r="B7" s="3" t="n">
        <f aca="false">B6+E6</f>
        <v>150308.219178082</v>
      </c>
      <c r="C7" s="4"/>
      <c r="D7" s="3" t="n">
        <f aca="false">D6-C7</f>
        <v>150000</v>
      </c>
      <c r="E7" s="4" t="n">
        <f aca="false">D7*15%/365</f>
        <v>61.6438356164384</v>
      </c>
      <c r="F7" s="3" t="n">
        <f aca="false">F6+E7</f>
        <v>369.86301369863</v>
      </c>
      <c r="G7" s="4"/>
    </row>
    <row r="8" customFormat="false" ht="15" hidden="false" customHeight="false" outlineLevel="0" collapsed="false">
      <c r="A8" s="2" t="n">
        <v>45419</v>
      </c>
      <c r="B8" s="3" t="n">
        <f aca="false">B7+E7</f>
        <v>150369.863013699</v>
      </c>
      <c r="C8" s="4"/>
      <c r="D8" s="3" t="n">
        <f aca="false">D7-C8</f>
        <v>150000</v>
      </c>
      <c r="E8" s="4" t="n">
        <f aca="false">D8*15%/365</f>
        <v>61.6438356164384</v>
      </c>
      <c r="F8" s="3" t="n">
        <f aca="false">F7+E8</f>
        <v>431.506849315069</v>
      </c>
      <c r="G8" s="4"/>
    </row>
    <row r="9" customFormat="false" ht="15" hidden="false" customHeight="false" outlineLevel="0" collapsed="false">
      <c r="A9" s="2" t="n">
        <v>45420</v>
      </c>
      <c r="B9" s="3" t="n">
        <f aca="false">B8+E8</f>
        <v>150431.506849315</v>
      </c>
      <c r="C9" s="4"/>
      <c r="D9" s="3" t="n">
        <f aca="false">D8-C9</f>
        <v>150000</v>
      </c>
      <c r="E9" s="4" t="n">
        <f aca="false">D9*15%/365</f>
        <v>61.6438356164384</v>
      </c>
      <c r="F9" s="3" t="n">
        <f aca="false">F8+E9</f>
        <v>493.150684931507</v>
      </c>
      <c r="G9" s="4"/>
    </row>
    <row r="10" customFormat="false" ht="15" hidden="false" customHeight="false" outlineLevel="0" collapsed="false">
      <c r="A10" s="2" t="n">
        <v>45421</v>
      </c>
      <c r="B10" s="3" t="n">
        <f aca="false">B9+E9</f>
        <v>150493.150684932</v>
      </c>
      <c r="C10" s="4"/>
      <c r="D10" s="3" t="n">
        <f aca="false">D9-C10</f>
        <v>150000</v>
      </c>
      <c r="E10" s="4" t="n">
        <f aca="false">D10*15%/365</f>
        <v>61.6438356164384</v>
      </c>
      <c r="F10" s="3" t="n">
        <f aca="false">F9+E10</f>
        <v>554.794520547945</v>
      </c>
      <c r="G10" s="4"/>
    </row>
    <row r="11" customFormat="false" ht="15" hidden="false" customHeight="false" outlineLevel="0" collapsed="false">
      <c r="A11" s="2" t="n">
        <v>45422</v>
      </c>
      <c r="B11" s="3" t="n">
        <f aca="false">B10+E10</f>
        <v>150554.794520548</v>
      </c>
      <c r="C11" s="4"/>
      <c r="D11" s="3" t="n">
        <f aca="false">D10-C11</f>
        <v>150000</v>
      </c>
      <c r="E11" s="4" t="n">
        <f aca="false">D11*15%/365</f>
        <v>61.6438356164384</v>
      </c>
      <c r="F11" s="3" t="n">
        <f aca="false">F10+E11</f>
        <v>616.438356164384</v>
      </c>
      <c r="G11" s="4"/>
    </row>
    <row r="12" customFormat="false" ht="15" hidden="false" customHeight="false" outlineLevel="0" collapsed="false">
      <c r="A12" s="2" t="n">
        <v>45423</v>
      </c>
      <c r="B12" s="3" t="n">
        <f aca="false">B11+E11</f>
        <v>150616.438356164</v>
      </c>
      <c r="C12" s="4"/>
      <c r="D12" s="3" t="n">
        <f aca="false">D11-C12</f>
        <v>150000</v>
      </c>
      <c r="E12" s="4" t="n">
        <f aca="false">D12*15%/365</f>
        <v>61.6438356164384</v>
      </c>
      <c r="F12" s="3" t="n">
        <f aca="false">F11+E12</f>
        <v>678.082191780822</v>
      </c>
      <c r="G12" s="4"/>
    </row>
    <row r="13" customFormat="false" ht="15" hidden="false" customHeight="false" outlineLevel="0" collapsed="false">
      <c r="A13" s="2" t="n">
        <v>45424</v>
      </c>
      <c r="B13" s="3" t="n">
        <f aca="false">B12+E12</f>
        <v>150678.082191781</v>
      </c>
      <c r="C13" s="4"/>
      <c r="D13" s="3" t="n">
        <f aca="false">D12-C13</f>
        <v>150000</v>
      </c>
      <c r="E13" s="4" t="n">
        <f aca="false">D13*15%/365</f>
        <v>61.6438356164384</v>
      </c>
      <c r="F13" s="3" t="n">
        <f aca="false">F12+E13</f>
        <v>739.72602739726</v>
      </c>
      <c r="G13" s="4"/>
    </row>
    <row r="14" customFormat="false" ht="15" hidden="false" customHeight="false" outlineLevel="0" collapsed="false">
      <c r="A14" s="2" t="n">
        <v>45425</v>
      </c>
      <c r="B14" s="3" t="n">
        <f aca="false">B13+E13</f>
        <v>150739.726027397</v>
      </c>
      <c r="C14" s="4"/>
      <c r="D14" s="3" t="n">
        <f aca="false">D13-C14</f>
        <v>150000</v>
      </c>
      <c r="E14" s="4" t="n">
        <f aca="false">D14*15%/365</f>
        <v>61.6438356164384</v>
      </c>
      <c r="F14" s="3" t="n">
        <f aca="false">F13+E14</f>
        <v>801.369863013699</v>
      </c>
      <c r="G14" s="4"/>
    </row>
    <row r="15" customFormat="false" ht="15" hidden="false" customHeight="false" outlineLevel="0" collapsed="false">
      <c r="A15" s="2" t="n">
        <v>45426</v>
      </c>
      <c r="B15" s="3" t="n">
        <f aca="false">B14+E14</f>
        <v>150801.369863014</v>
      </c>
      <c r="C15" s="4"/>
      <c r="D15" s="3" t="n">
        <f aca="false">D14-C15</f>
        <v>150000</v>
      </c>
      <c r="E15" s="4" t="n">
        <f aca="false">D15*15%/365</f>
        <v>61.6438356164384</v>
      </c>
      <c r="F15" s="3" t="n">
        <f aca="false">F14+E15</f>
        <v>863.013698630137</v>
      </c>
      <c r="G15" s="4"/>
    </row>
    <row r="16" customFormat="false" ht="15" hidden="false" customHeight="false" outlineLevel="0" collapsed="false">
      <c r="A16" s="2" t="n">
        <v>45427</v>
      </c>
      <c r="B16" s="3" t="n">
        <f aca="false">B15+E15</f>
        <v>150863.01369863</v>
      </c>
      <c r="C16" s="4"/>
      <c r="D16" s="3" t="n">
        <f aca="false">D15-C16</f>
        <v>150000</v>
      </c>
      <c r="E16" s="4" t="n">
        <f aca="false">D16*15%/365</f>
        <v>61.6438356164384</v>
      </c>
      <c r="F16" s="3" t="n">
        <f aca="false">F15+E16</f>
        <v>924.657534246575</v>
      </c>
      <c r="G16" s="4"/>
    </row>
    <row r="17" customFormat="false" ht="15" hidden="false" customHeight="false" outlineLevel="0" collapsed="false">
      <c r="A17" s="2" t="n">
        <v>45428</v>
      </c>
      <c r="B17" s="3" t="n">
        <f aca="false">B16+E16</f>
        <v>150924.657534247</v>
      </c>
      <c r="C17" s="4"/>
      <c r="D17" s="3" t="n">
        <f aca="false">D16-C17</f>
        <v>150000</v>
      </c>
      <c r="E17" s="4" t="n">
        <f aca="false">D17*15%/365</f>
        <v>61.6438356164384</v>
      </c>
      <c r="F17" s="3" t="n">
        <f aca="false">F16+E17</f>
        <v>986.301369863013</v>
      </c>
      <c r="G17" s="4"/>
    </row>
    <row r="18" customFormat="false" ht="15" hidden="false" customHeight="false" outlineLevel="0" collapsed="false">
      <c r="A18" s="2" t="n">
        <v>45429</v>
      </c>
      <c r="B18" s="3" t="n">
        <f aca="false">B17+E17</f>
        <v>150986.301369863</v>
      </c>
      <c r="C18" s="4"/>
      <c r="D18" s="3" t="n">
        <f aca="false">D17-C18</f>
        <v>150000</v>
      </c>
      <c r="E18" s="4" t="n">
        <f aca="false">D18*15%/365</f>
        <v>61.6438356164384</v>
      </c>
      <c r="F18" s="3" t="n">
        <f aca="false">F17+E18</f>
        <v>1047.94520547945</v>
      </c>
      <c r="G18" s="4"/>
    </row>
    <row r="19" customFormat="false" ht="15" hidden="false" customHeight="false" outlineLevel="0" collapsed="false">
      <c r="A19" s="2" t="n">
        <v>45430</v>
      </c>
      <c r="B19" s="3" t="n">
        <f aca="false">B18+E18</f>
        <v>151047.94520548</v>
      </c>
      <c r="C19" s="4"/>
      <c r="D19" s="3" t="n">
        <f aca="false">D18-C19</f>
        <v>150000</v>
      </c>
      <c r="E19" s="4" t="n">
        <f aca="false">D19*15%/365</f>
        <v>61.6438356164384</v>
      </c>
      <c r="F19" s="3" t="n">
        <f aca="false">F18+E19</f>
        <v>1109.58904109589</v>
      </c>
      <c r="G19" s="4"/>
    </row>
    <row r="20" customFormat="false" ht="15" hidden="false" customHeight="false" outlineLevel="0" collapsed="false">
      <c r="A20" s="2" t="n">
        <v>45431</v>
      </c>
      <c r="B20" s="3" t="n">
        <f aca="false">B19+E19</f>
        <v>151109.589041096</v>
      </c>
      <c r="C20" s="4"/>
      <c r="D20" s="3" t="n">
        <f aca="false">D19-C20</f>
        <v>150000</v>
      </c>
      <c r="E20" s="4" t="n">
        <f aca="false">D20*15%/365</f>
        <v>61.6438356164384</v>
      </c>
      <c r="F20" s="3" t="n">
        <f aca="false">F19+E20</f>
        <v>1171.23287671233</v>
      </c>
      <c r="G20" s="4"/>
    </row>
    <row r="21" customFormat="false" ht="15" hidden="false" customHeight="false" outlineLevel="0" collapsed="false">
      <c r="A21" s="2" t="n">
        <v>45432</v>
      </c>
      <c r="B21" s="3" t="n">
        <f aca="false">B20+E20</f>
        <v>151171.232876712</v>
      </c>
      <c r="C21" s="4"/>
      <c r="D21" s="3" t="n">
        <f aca="false">D20-C21</f>
        <v>150000</v>
      </c>
      <c r="E21" s="4" t="n">
        <f aca="false">D21*15%/365</f>
        <v>61.6438356164384</v>
      </c>
      <c r="F21" s="3" t="n">
        <f aca="false">F20+E21</f>
        <v>1232.87671232877</v>
      </c>
      <c r="G21" s="4"/>
    </row>
    <row r="22" customFormat="false" ht="15" hidden="false" customHeight="false" outlineLevel="0" collapsed="false">
      <c r="A22" s="2" t="n">
        <v>45433</v>
      </c>
      <c r="B22" s="3" t="n">
        <f aca="false">B21+E21</f>
        <v>151232.876712329</v>
      </c>
      <c r="C22" s="4"/>
      <c r="D22" s="3" t="n">
        <f aca="false">D21-C22</f>
        <v>150000</v>
      </c>
      <c r="E22" s="4" t="n">
        <f aca="false">D22*15%/365</f>
        <v>61.6438356164384</v>
      </c>
      <c r="F22" s="3" t="n">
        <f aca="false">F21+E22</f>
        <v>1294.52054794521</v>
      </c>
      <c r="G22" s="4"/>
    </row>
    <row r="23" customFormat="false" ht="15" hidden="false" customHeight="false" outlineLevel="0" collapsed="false">
      <c r="A23" s="2" t="n">
        <v>45434</v>
      </c>
      <c r="B23" s="3" t="n">
        <f aca="false">B22+E22</f>
        <v>151294.520547945</v>
      </c>
      <c r="C23" s="4"/>
      <c r="D23" s="3" t="n">
        <f aca="false">D22-C23</f>
        <v>150000</v>
      </c>
      <c r="E23" s="4" t="n">
        <f aca="false">D23*15%/365</f>
        <v>61.6438356164384</v>
      </c>
      <c r="F23" s="3" t="n">
        <f aca="false">F22+E23</f>
        <v>1356.16438356164</v>
      </c>
      <c r="G23" s="4"/>
    </row>
    <row r="24" customFormat="false" ht="15" hidden="false" customHeight="false" outlineLevel="0" collapsed="false">
      <c r="A24" s="2" t="n">
        <v>45435</v>
      </c>
      <c r="B24" s="3" t="n">
        <f aca="false">B23+E23</f>
        <v>151356.164383562</v>
      </c>
      <c r="C24" s="4"/>
      <c r="D24" s="3" t="n">
        <f aca="false">D23-C24</f>
        <v>150000</v>
      </c>
      <c r="E24" s="4" t="n">
        <f aca="false">D24*15%/365</f>
        <v>61.6438356164384</v>
      </c>
      <c r="F24" s="3" t="n">
        <f aca="false">F23+E24</f>
        <v>1417.80821917808</v>
      </c>
      <c r="G24" s="4"/>
    </row>
    <row r="25" customFormat="false" ht="15" hidden="false" customHeight="false" outlineLevel="0" collapsed="false">
      <c r="A25" s="2" t="n">
        <v>45436</v>
      </c>
      <c r="B25" s="3" t="n">
        <f aca="false">B24+E24</f>
        <v>151417.808219178</v>
      </c>
      <c r="C25" s="4"/>
      <c r="D25" s="3" t="n">
        <f aca="false">D24-C25</f>
        <v>150000</v>
      </c>
      <c r="E25" s="4" t="n">
        <f aca="false">D25*15%/365</f>
        <v>61.6438356164384</v>
      </c>
      <c r="F25" s="3" t="n">
        <f aca="false">F24+E25</f>
        <v>1479.45205479452</v>
      </c>
      <c r="G25" s="4"/>
    </row>
    <row r="26" customFormat="false" ht="15" hidden="false" customHeight="false" outlineLevel="0" collapsed="false">
      <c r="A26" s="2" t="n">
        <v>45437</v>
      </c>
      <c r="B26" s="3" t="n">
        <f aca="false">B25+E25</f>
        <v>151479.452054795</v>
      </c>
      <c r="C26" s="4"/>
      <c r="D26" s="3" t="n">
        <f aca="false">D25-C26</f>
        <v>150000</v>
      </c>
      <c r="E26" s="4" t="n">
        <f aca="false">D26*15%/365</f>
        <v>61.6438356164384</v>
      </c>
      <c r="F26" s="3" t="n">
        <f aca="false">F25+E26</f>
        <v>1541.09589041096</v>
      </c>
      <c r="G26" s="4"/>
    </row>
    <row r="27" customFormat="false" ht="15" hidden="false" customHeight="false" outlineLevel="0" collapsed="false">
      <c r="A27" s="2" t="n">
        <v>45438</v>
      </c>
      <c r="B27" s="3" t="n">
        <f aca="false">B26+E26</f>
        <v>151541.095890411</v>
      </c>
      <c r="C27" s="4"/>
      <c r="D27" s="3" t="n">
        <f aca="false">D26-C27</f>
        <v>150000</v>
      </c>
      <c r="E27" s="4" t="n">
        <f aca="false">D27*15%/365</f>
        <v>61.6438356164384</v>
      </c>
      <c r="F27" s="3" t="n">
        <f aca="false">F26+E27</f>
        <v>1602.7397260274</v>
      </c>
      <c r="G27" s="4"/>
    </row>
    <row r="28" customFormat="false" ht="15" hidden="false" customHeight="false" outlineLevel="0" collapsed="false">
      <c r="A28" s="2" t="n">
        <v>45439</v>
      </c>
      <c r="B28" s="3" t="n">
        <f aca="false">B27+E27</f>
        <v>151602.739726028</v>
      </c>
      <c r="C28" s="4"/>
      <c r="D28" s="3" t="n">
        <f aca="false">D27-C28</f>
        <v>150000</v>
      </c>
      <c r="E28" s="4" t="n">
        <f aca="false">D28*15%/365</f>
        <v>61.6438356164384</v>
      </c>
      <c r="F28" s="3" t="n">
        <f aca="false">F27+E28</f>
        <v>1664.38356164383</v>
      </c>
      <c r="G28" s="4"/>
    </row>
    <row r="29" customFormat="false" ht="15" hidden="false" customHeight="false" outlineLevel="0" collapsed="false">
      <c r="A29" s="2" t="n">
        <v>45440</v>
      </c>
      <c r="B29" s="3" t="n">
        <f aca="false">B28+E28</f>
        <v>151664.383561644</v>
      </c>
      <c r="C29" s="4"/>
      <c r="D29" s="3" t="n">
        <f aca="false">D28-C29</f>
        <v>150000</v>
      </c>
      <c r="E29" s="4" t="n">
        <f aca="false">D29*15%/365</f>
        <v>61.6438356164384</v>
      </c>
      <c r="F29" s="3" t="n">
        <f aca="false">F28+E29</f>
        <v>1726.02739726027</v>
      </c>
      <c r="G29" s="4"/>
    </row>
    <row r="30" customFormat="false" ht="15" hidden="false" customHeight="false" outlineLevel="0" collapsed="false">
      <c r="A30" s="2" t="n">
        <v>45441</v>
      </c>
      <c r="B30" s="3" t="n">
        <f aca="false">B29+E29</f>
        <v>151726.02739726</v>
      </c>
      <c r="C30" s="4"/>
      <c r="D30" s="3" t="n">
        <f aca="false">D29-C30</f>
        <v>150000</v>
      </c>
      <c r="E30" s="4" t="n">
        <f aca="false">D30*15%/365</f>
        <v>61.6438356164384</v>
      </c>
      <c r="F30" s="3" t="n">
        <f aca="false">F29+E30</f>
        <v>1787.67123287671</v>
      </c>
      <c r="G30" s="4"/>
    </row>
    <row r="31" customFormat="false" ht="15" hidden="false" customHeight="false" outlineLevel="0" collapsed="false">
      <c r="A31" s="2" t="n">
        <v>45442</v>
      </c>
      <c r="B31" s="3" t="n">
        <f aca="false">B30+E30</f>
        <v>151787.671232877</v>
      </c>
      <c r="C31" s="4"/>
      <c r="D31" s="3" t="n">
        <f aca="false">D30-C31</f>
        <v>150000</v>
      </c>
      <c r="E31" s="4" t="n">
        <f aca="false">D31*15%/365</f>
        <v>61.6438356164384</v>
      </c>
      <c r="F31" s="3" t="n">
        <f aca="false">F30+E31</f>
        <v>1849.31506849315</v>
      </c>
      <c r="G31" s="4"/>
    </row>
    <row r="32" customFormat="false" ht="15" hidden="false" customHeight="false" outlineLevel="0" collapsed="false">
      <c r="A32" s="2" t="n">
        <v>45443</v>
      </c>
      <c r="B32" s="3" t="n">
        <f aca="false">B31+E31</f>
        <v>151849.315068493</v>
      </c>
      <c r="C32" s="4"/>
      <c r="D32" s="3" t="n">
        <f aca="false">D31-C32</f>
        <v>150000</v>
      </c>
      <c r="E32" s="4" t="n">
        <f aca="false">D32*15%/365</f>
        <v>61.6438356164384</v>
      </c>
      <c r="F32" s="3" t="n">
        <f aca="false">F31+E32</f>
        <v>1910.95890410959</v>
      </c>
      <c r="G32" s="4"/>
    </row>
    <row r="33" customFormat="false" ht="15" hidden="false" customHeight="false" outlineLevel="0" collapsed="false">
      <c r="A33" s="2" t="n">
        <v>45444</v>
      </c>
      <c r="B33" s="3" t="n">
        <f aca="false">B32+E32</f>
        <v>151910.95890411</v>
      </c>
      <c r="C33" s="4"/>
      <c r="D33" s="3" t="n">
        <f aca="false">D32-C33</f>
        <v>150000</v>
      </c>
      <c r="E33" s="4" t="n">
        <f aca="false">D33*15%/365</f>
        <v>61.6438356164384</v>
      </c>
      <c r="F33" s="3" t="n">
        <f aca="false">F32+E33</f>
        <v>1972.60273972603</v>
      </c>
      <c r="G33" s="4"/>
    </row>
    <row r="34" customFormat="false" ht="15" hidden="false" customHeight="false" outlineLevel="0" collapsed="false">
      <c r="A34" s="2" t="n">
        <v>45445</v>
      </c>
      <c r="B34" s="3" t="n">
        <f aca="false">B33+E33</f>
        <v>151972.602739726</v>
      </c>
      <c r="C34" s="4"/>
      <c r="D34" s="3" t="n">
        <f aca="false">D33-C34</f>
        <v>150000</v>
      </c>
      <c r="E34" s="4" t="n">
        <f aca="false">D34*15%/365</f>
        <v>61.6438356164384</v>
      </c>
      <c r="F34" s="3" t="n">
        <f aca="false">F33+E34</f>
        <v>2034.24657534246</v>
      </c>
      <c r="G34" s="4"/>
    </row>
    <row r="35" customFormat="false" ht="15" hidden="false" customHeight="false" outlineLevel="0" collapsed="false">
      <c r="A35" s="2" t="n">
        <v>45446</v>
      </c>
      <c r="B35" s="3" t="n">
        <f aca="false">B34+E34</f>
        <v>152034.246575343</v>
      </c>
      <c r="C35" s="4"/>
      <c r="D35" s="3" t="n">
        <f aca="false">D34-C35</f>
        <v>150000</v>
      </c>
      <c r="E35" s="4" t="n">
        <f aca="false">D35*15%/365</f>
        <v>61.6438356164384</v>
      </c>
      <c r="F35" s="3" t="n">
        <f aca="false">F34+E35</f>
        <v>2095.8904109589</v>
      </c>
      <c r="G35" s="4"/>
    </row>
    <row r="36" customFormat="false" ht="15" hidden="false" customHeight="false" outlineLevel="0" collapsed="false">
      <c r="A36" s="2" t="n">
        <v>45447</v>
      </c>
      <c r="B36" s="3" t="n">
        <f aca="false">B35+E35</f>
        <v>152095.890410959</v>
      </c>
      <c r="C36" s="4"/>
      <c r="D36" s="3" t="n">
        <f aca="false">D35-C36</f>
        <v>150000</v>
      </c>
      <c r="E36" s="4" t="n">
        <f aca="false">D36*15%/365</f>
        <v>61.6438356164384</v>
      </c>
      <c r="F36" s="3" t="n">
        <f aca="false">F35+E36</f>
        <v>2157.53424657534</v>
      </c>
      <c r="G36" s="4"/>
    </row>
    <row r="37" customFormat="false" ht="15" hidden="false" customHeight="false" outlineLevel="0" collapsed="false">
      <c r="A37" s="2" t="n">
        <v>45448</v>
      </c>
      <c r="B37" s="3" t="n">
        <f aca="false">B36+E36</f>
        <v>152157.534246576</v>
      </c>
      <c r="C37" s="4"/>
      <c r="D37" s="3" t="n">
        <f aca="false">D36-C37</f>
        <v>150000</v>
      </c>
      <c r="E37" s="4" t="n">
        <f aca="false">D37*15%/365</f>
        <v>61.6438356164384</v>
      </c>
      <c r="F37" s="3" t="n">
        <f aca="false">F36+E37</f>
        <v>2219.17808219178</v>
      </c>
      <c r="G37" s="4"/>
    </row>
    <row r="38" customFormat="false" ht="15" hidden="false" customHeight="false" outlineLevel="0" collapsed="false">
      <c r="A38" s="2" t="n">
        <v>45449</v>
      </c>
      <c r="B38" s="3" t="n">
        <f aca="false">B37+E37</f>
        <v>152219.178082192</v>
      </c>
      <c r="C38" s="4"/>
      <c r="D38" s="3" t="n">
        <f aca="false">D37-C38</f>
        <v>150000</v>
      </c>
      <c r="E38" s="4" t="n">
        <f aca="false">D38*15%/365</f>
        <v>61.6438356164384</v>
      </c>
      <c r="F38" s="3" t="n">
        <f aca="false">F37+E38</f>
        <v>2280.82191780822</v>
      </c>
      <c r="G38" s="4"/>
    </row>
    <row r="39" customFormat="false" ht="15" hidden="false" customHeight="false" outlineLevel="0" collapsed="false">
      <c r="A39" s="2" t="n">
        <v>45450</v>
      </c>
      <c r="B39" s="3" t="n">
        <f aca="false">B38+E38</f>
        <v>152280.821917808</v>
      </c>
      <c r="C39" s="4"/>
      <c r="D39" s="3" t="n">
        <f aca="false">D38-C39</f>
        <v>150000</v>
      </c>
      <c r="E39" s="4" t="n">
        <f aca="false">D39*15%/365</f>
        <v>61.6438356164384</v>
      </c>
      <c r="F39" s="3" t="n">
        <f aca="false">F38+E39</f>
        <v>2342.46575342466</v>
      </c>
      <c r="G39" s="4"/>
    </row>
    <row r="40" customFormat="false" ht="15" hidden="false" customHeight="false" outlineLevel="0" collapsed="false">
      <c r="A40" s="2" t="n">
        <v>45451</v>
      </c>
      <c r="B40" s="3" t="n">
        <f aca="false">B39+E39</f>
        <v>152342.465753425</v>
      </c>
      <c r="C40" s="4"/>
      <c r="D40" s="3" t="n">
        <f aca="false">D39-C40</f>
        <v>150000</v>
      </c>
      <c r="E40" s="4" t="n">
        <f aca="false">D40*15%/365</f>
        <v>61.6438356164384</v>
      </c>
      <c r="F40" s="3" t="n">
        <f aca="false">F39+E40</f>
        <v>2404.1095890411</v>
      </c>
      <c r="G40" s="4"/>
    </row>
    <row r="41" customFormat="false" ht="15" hidden="false" customHeight="false" outlineLevel="0" collapsed="false">
      <c r="A41" s="2" t="n">
        <v>45452</v>
      </c>
      <c r="B41" s="3" t="n">
        <f aca="false">B40+E40</f>
        <v>152404.109589041</v>
      </c>
      <c r="C41" s="4"/>
      <c r="D41" s="3" t="n">
        <f aca="false">D40-C41</f>
        <v>150000</v>
      </c>
      <c r="E41" s="4" t="n">
        <f aca="false">D41*15%/365</f>
        <v>61.6438356164384</v>
      </c>
      <c r="F41" s="3" t="n">
        <f aca="false">F40+E41</f>
        <v>2465.75342465753</v>
      </c>
      <c r="G41" s="4"/>
    </row>
    <row r="42" customFormat="false" ht="15" hidden="false" customHeight="false" outlineLevel="0" collapsed="false">
      <c r="A42" s="2" t="n">
        <v>45453</v>
      </c>
      <c r="B42" s="3" t="n">
        <f aca="false">B41+E41</f>
        <v>152465.753424658</v>
      </c>
      <c r="C42" s="4"/>
      <c r="D42" s="3" t="n">
        <f aca="false">D41-C42</f>
        <v>150000</v>
      </c>
      <c r="E42" s="4" t="n">
        <f aca="false">D42*15%/365</f>
        <v>61.6438356164384</v>
      </c>
      <c r="F42" s="3" t="n">
        <f aca="false">F41+E42</f>
        <v>2527.39726027397</v>
      </c>
      <c r="G42" s="4"/>
    </row>
    <row r="43" customFormat="false" ht="15" hidden="false" customHeight="false" outlineLevel="0" collapsed="false">
      <c r="A43" s="2" t="n">
        <v>45454</v>
      </c>
      <c r="B43" s="3" t="n">
        <f aca="false">B42+E42</f>
        <v>152527.397260274</v>
      </c>
      <c r="C43" s="4"/>
      <c r="D43" s="3" t="n">
        <f aca="false">D42-C43</f>
        <v>150000</v>
      </c>
      <c r="E43" s="4" t="n">
        <f aca="false">D43*15%/365</f>
        <v>61.6438356164384</v>
      </c>
      <c r="F43" s="3" t="n">
        <f aca="false">F42+E43</f>
        <v>2589.04109589041</v>
      </c>
      <c r="G43" s="4"/>
    </row>
    <row r="44" customFormat="false" ht="15" hidden="false" customHeight="false" outlineLevel="0" collapsed="false">
      <c r="A44" s="2" t="n">
        <v>45455</v>
      </c>
      <c r="B44" s="3" t="n">
        <f aca="false">B43+E43</f>
        <v>152589.041095891</v>
      </c>
      <c r="C44" s="4"/>
      <c r="D44" s="3" t="n">
        <f aca="false">D43-C44</f>
        <v>150000</v>
      </c>
      <c r="E44" s="4" t="n">
        <f aca="false">D44*15%/365</f>
        <v>61.6438356164384</v>
      </c>
      <c r="F44" s="3" t="n">
        <f aca="false">F43+E44</f>
        <v>2650.68493150685</v>
      </c>
      <c r="G44" s="4"/>
    </row>
    <row r="45" customFormat="false" ht="15" hidden="false" customHeight="false" outlineLevel="0" collapsed="false">
      <c r="A45" s="2" t="n">
        <v>45456</v>
      </c>
      <c r="B45" s="3" t="n">
        <f aca="false">B44+E44</f>
        <v>152650.684931507</v>
      </c>
      <c r="C45" s="4"/>
      <c r="D45" s="3" t="n">
        <f aca="false">D44-C45</f>
        <v>150000</v>
      </c>
      <c r="E45" s="4" t="n">
        <f aca="false">D45*15%/365</f>
        <v>61.6438356164384</v>
      </c>
      <c r="F45" s="3" t="n">
        <f aca="false">F44+E45</f>
        <v>2712.32876712329</v>
      </c>
      <c r="G45" s="4"/>
    </row>
    <row r="46" customFormat="false" ht="15" hidden="false" customHeight="false" outlineLevel="0" collapsed="false">
      <c r="A46" s="2" t="n">
        <v>45457</v>
      </c>
      <c r="B46" s="3" t="n">
        <f aca="false">B45+E45</f>
        <v>152712.328767124</v>
      </c>
      <c r="C46" s="4"/>
      <c r="D46" s="3" t="n">
        <f aca="false">D45-C46</f>
        <v>150000</v>
      </c>
      <c r="E46" s="4" t="n">
        <f aca="false">D46*15%/365</f>
        <v>61.6438356164384</v>
      </c>
      <c r="F46" s="3" t="n">
        <f aca="false">F45+E46</f>
        <v>2773.97260273973</v>
      </c>
      <c r="G46" s="4"/>
    </row>
    <row r="47" customFormat="false" ht="15" hidden="false" customHeight="false" outlineLevel="0" collapsed="false">
      <c r="A47" s="2" t="n">
        <v>45458</v>
      </c>
      <c r="B47" s="3" t="n">
        <f aca="false">B46+E46</f>
        <v>152773.97260274</v>
      </c>
      <c r="C47" s="4"/>
      <c r="D47" s="3" t="n">
        <f aca="false">D46-C47</f>
        <v>150000</v>
      </c>
      <c r="E47" s="4" t="n">
        <f aca="false">D47*15%/365</f>
        <v>61.6438356164384</v>
      </c>
      <c r="F47" s="3" t="n">
        <f aca="false">F46+E47</f>
        <v>2835.61643835617</v>
      </c>
      <c r="G47" s="4"/>
    </row>
    <row r="48" customFormat="false" ht="15" hidden="false" customHeight="false" outlineLevel="0" collapsed="false">
      <c r="A48" s="2" t="n">
        <v>45459</v>
      </c>
      <c r="B48" s="3" t="n">
        <f aca="false">B47+E47</f>
        <v>152835.616438356</v>
      </c>
      <c r="C48" s="4"/>
      <c r="D48" s="3" t="n">
        <f aca="false">D47-C48</f>
        <v>150000</v>
      </c>
      <c r="E48" s="4" t="n">
        <f aca="false">D48*15%/365</f>
        <v>61.6438356164384</v>
      </c>
      <c r="F48" s="3" t="n">
        <f aca="false">F47+E48</f>
        <v>2897.2602739726</v>
      </c>
      <c r="G48" s="4"/>
    </row>
    <row r="49" customFormat="false" ht="15" hidden="false" customHeight="false" outlineLevel="0" collapsed="false">
      <c r="A49" s="2" t="n">
        <v>45460</v>
      </c>
      <c r="B49" s="3" t="n">
        <f aca="false">B48+E48</f>
        <v>152897.260273973</v>
      </c>
      <c r="C49" s="4"/>
      <c r="D49" s="3" t="n">
        <f aca="false">D48-C49</f>
        <v>150000</v>
      </c>
      <c r="E49" s="4" t="n">
        <f aca="false">D49*15%/365</f>
        <v>61.6438356164384</v>
      </c>
      <c r="F49" s="3" t="n">
        <f aca="false">F48+E49</f>
        <v>2958.90410958904</v>
      </c>
      <c r="G49" s="4"/>
    </row>
    <row r="50" customFormat="false" ht="15" hidden="false" customHeight="false" outlineLevel="0" collapsed="false">
      <c r="A50" s="2" t="n">
        <v>45461</v>
      </c>
      <c r="B50" s="3" t="n">
        <f aca="false">B49+E49</f>
        <v>152958.904109589</v>
      </c>
      <c r="C50" s="4"/>
      <c r="D50" s="3" t="n">
        <f aca="false">D49-C50</f>
        <v>150000</v>
      </c>
      <c r="E50" s="4" t="n">
        <f aca="false">D50*15%/365</f>
        <v>61.6438356164384</v>
      </c>
      <c r="F50" s="3" t="n">
        <f aca="false">F49+E50</f>
        <v>3020.54794520548</v>
      </c>
      <c r="G50" s="4"/>
    </row>
    <row r="51" customFormat="false" ht="15" hidden="false" customHeight="false" outlineLevel="0" collapsed="false">
      <c r="A51" s="2" t="n">
        <v>45462</v>
      </c>
      <c r="B51" s="3" t="n">
        <f aca="false">B50+E50</f>
        <v>153020.547945206</v>
      </c>
      <c r="C51" s="4"/>
      <c r="D51" s="3" t="n">
        <f aca="false">D50-C51</f>
        <v>150000</v>
      </c>
      <c r="E51" s="4" t="n">
        <f aca="false">D51*15%/365</f>
        <v>61.6438356164384</v>
      </c>
      <c r="F51" s="3" t="n">
        <f aca="false">F50+E51</f>
        <v>3082.19178082192</v>
      </c>
      <c r="G51" s="4"/>
    </row>
    <row r="52" customFormat="false" ht="15" hidden="false" customHeight="false" outlineLevel="0" collapsed="false">
      <c r="A52" s="2" t="n">
        <v>45463</v>
      </c>
      <c r="B52" s="3" t="n">
        <f aca="false">B51+E51</f>
        <v>153082.191780822</v>
      </c>
      <c r="C52" s="4"/>
      <c r="D52" s="3" t="n">
        <f aca="false">D51-C52</f>
        <v>150000</v>
      </c>
      <c r="E52" s="4" t="n">
        <f aca="false">D52*15%/365</f>
        <v>61.6438356164384</v>
      </c>
      <c r="F52" s="3" t="n">
        <f aca="false">F51+E52</f>
        <v>3143.83561643836</v>
      </c>
      <c r="G52" s="4"/>
    </row>
    <row r="53" customFormat="false" ht="15" hidden="false" customHeight="false" outlineLevel="0" collapsed="false">
      <c r="A53" s="2" t="n">
        <v>45464</v>
      </c>
      <c r="B53" s="3" t="n">
        <f aca="false">B52+E52</f>
        <v>153143.835616439</v>
      </c>
      <c r="C53" s="4"/>
      <c r="D53" s="3" t="n">
        <f aca="false">D52-C53</f>
        <v>150000</v>
      </c>
      <c r="E53" s="4" t="n">
        <f aca="false">D53*15%/365</f>
        <v>61.6438356164384</v>
      </c>
      <c r="F53" s="3" t="n">
        <f aca="false">F52+E53</f>
        <v>3205.4794520548</v>
      </c>
      <c r="G53" s="4"/>
    </row>
    <row r="54" customFormat="false" ht="15" hidden="false" customHeight="false" outlineLevel="0" collapsed="false">
      <c r="A54" s="2" t="n">
        <v>45465</v>
      </c>
      <c r="B54" s="3" t="n">
        <f aca="false">B53+E53</f>
        <v>153205.479452055</v>
      </c>
      <c r="C54" s="4"/>
      <c r="D54" s="3" t="n">
        <f aca="false">D53-C54</f>
        <v>150000</v>
      </c>
      <c r="E54" s="4" t="n">
        <f aca="false">D54*15%/365</f>
        <v>61.6438356164384</v>
      </c>
      <c r="F54" s="3" t="n">
        <f aca="false">F53+E54</f>
        <v>3267.12328767124</v>
      </c>
      <c r="G54" s="4"/>
    </row>
    <row r="55" customFormat="false" ht="15" hidden="false" customHeight="false" outlineLevel="0" collapsed="false">
      <c r="A55" s="2" t="n">
        <v>45466</v>
      </c>
      <c r="B55" s="3" t="n">
        <f aca="false">B54+E54</f>
        <v>153267.123287672</v>
      </c>
      <c r="C55" s="4"/>
      <c r="D55" s="3" t="n">
        <f aca="false">D54-C55</f>
        <v>150000</v>
      </c>
      <c r="E55" s="4" t="n">
        <f aca="false">D55*15%/365</f>
        <v>61.6438356164384</v>
      </c>
      <c r="F55" s="3" t="n">
        <f aca="false">F54+E55</f>
        <v>3328.76712328767</v>
      </c>
      <c r="G55" s="4"/>
    </row>
    <row r="56" customFormat="false" ht="15" hidden="false" customHeight="false" outlineLevel="0" collapsed="false">
      <c r="A56" s="2" t="n">
        <v>45467</v>
      </c>
      <c r="B56" s="3" t="n">
        <f aca="false">B55+E55</f>
        <v>153328.767123288</v>
      </c>
      <c r="C56" s="4"/>
      <c r="D56" s="3" t="n">
        <f aca="false">D55-C56</f>
        <v>150000</v>
      </c>
      <c r="E56" s="4" t="n">
        <f aca="false">D56*15%/365</f>
        <v>61.6438356164384</v>
      </c>
      <c r="F56" s="3" t="n">
        <f aca="false">F55+E56</f>
        <v>3390.41095890411</v>
      </c>
      <c r="G56" s="4"/>
    </row>
    <row r="57" customFormat="false" ht="15" hidden="false" customHeight="false" outlineLevel="0" collapsed="false">
      <c r="A57" s="2" t="n">
        <v>45468</v>
      </c>
      <c r="B57" s="3" t="n">
        <f aca="false">B56+E56</f>
        <v>153390.410958904</v>
      </c>
      <c r="C57" s="4"/>
      <c r="D57" s="3" t="n">
        <f aca="false">D56-C57</f>
        <v>150000</v>
      </c>
      <c r="E57" s="4" t="n">
        <f aca="false">D57*15%/365</f>
        <v>61.6438356164384</v>
      </c>
      <c r="F57" s="3" t="n">
        <f aca="false">F56+E57</f>
        <v>3452.05479452055</v>
      </c>
      <c r="G57" s="4"/>
    </row>
    <row r="58" customFormat="false" ht="15" hidden="false" customHeight="false" outlineLevel="0" collapsed="false">
      <c r="A58" s="2" t="n">
        <v>45469</v>
      </c>
      <c r="B58" s="3" t="n">
        <f aca="false">B57+E57</f>
        <v>153452.054794521</v>
      </c>
      <c r="C58" s="4"/>
      <c r="D58" s="3" t="n">
        <f aca="false">D57-C58</f>
        <v>150000</v>
      </c>
      <c r="E58" s="4" t="n">
        <f aca="false">D58*15%/365</f>
        <v>61.6438356164384</v>
      </c>
      <c r="F58" s="3" t="n">
        <f aca="false">F57+E58</f>
        <v>3513.69863013699</v>
      </c>
      <c r="G58" s="4"/>
    </row>
    <row r="59" customFormat="false" ht="15" hidden="false" customHeight="false" outlineLevel="0" collapsed="false">
      <c r="A59" s="2" t="n">
        <v>45470</v>
      </c>
      <c r="B59" s="3" t="n">
        <f aca="false">B58+E58</f>
        <v>153513.698630137</v>
      </c>
      <c r="C59" s="4"/>
      <c r="D59" s="3" t="n">
        <f aca="false">D58-C59</f>
        <v>150000</v>
      </c>
      <c r="E59" s="4" t="n">
        <f aca="false">D59*15%/365</f>
        <v>61.6438356164384</v>
      </c>
      <c r="F59" s="3" t="n">
        <f aca="false">F58+E59</f>
        <v>3575.34246575343</v>
      </c>
      <c r="G59" s="4"/>
    </row>
    <row r="60" customFormat="false" ht="15" hidden="false" customHeight="false" outlineLevel="0" collapsed="false">
      <c r="A60" s="2" t="n">
        <v>45471</v>
      </c>
      <c r="B60" s="3" t="n">
        <f aca="false">B59+E59</f>
        <v>153575.342465754</v>
      </c>
      <c r="C60" s="4"/>
      <c r="D60" s="3" t="n">
        <f aca="false">D59-C60</f>
        <v>150000</v>
      </c>
      <c r="E60" s="4" t="n">
        <f aca="false">D60*15%/365</f>
        <v>61.6438356164384</v>
      </c>
      <c r="F60" s="3" t="n">
        <f aca="false">F59+E60</f>
        <v>3636.98630136987</v>
      </c>
      <c r="G60" s="4"/>
    </row>
    <row r="61" customFormat="false" ht="15" hidden="false" customHeight="false" outlineLevel="0" collapsed="false">
      <c r="A61" s="2" t="n">
        <v>45472</v>
      </c>
      <c r="B61" s="3" t="n">
        <f aca="false">B60+E60</f>
        <v>153636.98630137</v>
      </c>
      <c r="C61" s="4"/>
      <c r="D61" s="3" t="n">
        <f aca="false">D60-C61</f>
        <v>150000</v>
      </c>
      <c r="E61" s="4" t="n">
        <f aca="false">D61*15%/365</f>
        <v>61.6438356164384</v>
      </c>
      <c r="F61" s="3" t="n">
        <f aca="false">F60+E61</f>
        <v>3698.63013698631</v>
      </c>
      <c r="G61" s="4"/>
    </row>
    <row r="62" customFormat="false" ht="15" hidden="false" customHeight="false" outlineLevel="0" collapsed="false">
      <c r="A62" s="2" t="n">
        <v>45473</v>
      </c>
      <c r="B62" s="3" t="n">
        <f aca="false">B61+E61</f>
        <v>153698.630136987</v>
      </c>
      <c r="C62" s="4"/>
      <c r="D62" s="3" t="n">
        <f aca="false">D61-C62</f>
        <v>150000</v>
      </c>
      <c r="E62" s="4" t="n">
        <f aca="false">D62*15%/365</f>
        <v>61.6438356164384</v>
      </c>
      <c r="F62" s="3" t="n">
        <f aca="false">F61+E62</f>
        <v>3760.27397260274</v>
      </c>
      <c r="G62" s="4"/>
    </row>
    <row r="63" customFormat="false" ht="15" hidden="false" customHeight="false" outlineLevel="0" collapsed="false">
      <c r="A63" s="2" t="n">
        <v>45474</v>
      </c>
      <c r="B63" s="3" t="n">
        <f aca="false">B62+E62</f>
        <v>153760.273972603</v>
      </c>
      <c r="C63" s="4"/>
      <c r="D63" s="3" t="n">
        <f aca="false">D62-C63</f>
        <v>150000</v>
      </c>
      <c r="E63" s="4" t="n">
        <f aca="false">D63*15%/365</f>
        <v>61.6438356164384</v>
      </c>
      <c r="F63" s="3" t="n">
        <f aca="false">F62+E63</f>
        <v>3821.91780821918</v>
      </c>
      <c r="G63" s="4"/>
    </row>
    <row r="64" customFormat="false" ht="15" hidden="false" customHeight="false" outlineLevel="0" collapsed="false">
      <c r="A64" s="2" t="n">
        <v>45475</v>
      </c>
      <c r="B64" s="3" t="n">
        <f aca="false">B63+E63</f>
        <v>153821.91780822</v>
      </c>
      <c r="C64" s="4"/>
      <c r="D64" s="3" t="n">
        <f aca="false">D63-C64</f>
        <v>150000</v>
      </c>
      <c r="E64" s="4" t="n">
        <f aca="false">D64*15%/365</f>
        <v>61.6438356164384</v>
      </c>
      <c r="F64" s="3" t="n">
        <f aca="false">F63+E64</f>
        <v>3883.56164383562</v>
      </c>
      <c r="G64" s="4"/>
    </row>
    <row r="65" customFormat="false" ht="15" hidden="false" customHeight="false" outlineLevel="0" collapsed="false">
      <c r="A65" s="2" t="n">
        <v>45476</v>
      </c>
      <c r="B65" s="3" t="n">
        <f aca="false">B64+E64</f>
        <v>153883.561643836</v>
      </c>
      <c r="C65" s="4"/>
      <c r="D65" s="3" t="n">
        <f aca="false">D64-C65</f>
        <v>150000</v>
      </c>
      <c r="E65" s="4" t="n">
        <f aca="false">D65*15%/365</f>
        <v>61.6438356164384</v>
      </c>
      <c r="F65" s="3" t="n">
        <f aca="false">F64+E65</f>
        <v>3945.20547945206</v>
      </c>
      <c r="G65" s="4"/>
    </row>
    <row r="66" customFormat="false" ht="15" hidden="false" customHeight="false" outlineLevel="0" collapsed="false">
      <c r="A66" s="2" t="n">
        <v>45477</v>
      </c>
      <c r="B66" s="3" t="n">
        <f aca="false">B65+E65</f>
        <v>153945.205479452</v>
      </c>
      <c r="C66" s="4"/>
      <c r="D66" s="3" t="n">
        <f aca="false">D65-C66</f>
        <v>150000</v>
      </c>
      <c r="E66" s="4" t="n">
        <f aca="false">D66*15%/365</f>
        <v>61.6438356164384</v>
      </c>
      <c r="F66" s="3" t="n">
        <f aca="false">F65+E66</f>
        <v>4006.8493150685</v>
      </c>
      <c r="G66" s="4"/>
    </row>
    <row r="67" customFormat="false" ht="15" hidden="false" customHeight="false" outlineLevel="0" collapsed="false">
      <c r="A67" s="2" t="n">
        <v>45478</v>
      </c>
      <c r="B67" s="3" t="n">
        <f aca="false">B66+E66</f>
        <v>154006.849315069</v>
      </c>
      <c r="C67" s="4"/>
      <c r="D67" s="3" t="n">
        <f aca="false">D66-C67</f>
        <v>150000</v>
      </c>
      <c r="E67" s="4" t="n">
        <f aca="false">D67*15%/365</f>
        <v>61.6438356164384</v>
      </c>
      <c r="F67" s="3" t="n">
        <f aca="false">F66+E67</f>
        <v>4068.49315068494</v>
      </c>
      <c r="G67" s="4"/>
    </row>
    <row r="68" customFormat="false" ht="15" hidden="false" customHeight="false" outlineLevel="0" collapsed="false">
      <c r="A68" s="2" t="n">
        <v>45479</v>
      </c>
      <c r="B68" s="3" t="n">
        <f aca="false">B67+E67</f>
        <v>154068.493150685</v>
      </c>
      <c r="C68" s="4"/>
      <c r="D68" s="3" t="n">
        <f aca="false">D67-C68</f>
        <v>150000</v>
      </c>
      <c r="E68" s="4" t="n">
        <f aca="false">D68*15%/365</f>
        <v>61.6438356164384</v>
      </c>
      <c r="F68" s="3" t="n">
        <f aca="false">F67+E68</f>
        <v>4130.13698630137</v>
      </c>
      <c r="G68" s="4"/>
    </row>
    <row r="69" customFormat="false" ht="15" hidden="false" customHeight="false" outlineLevel="0" collapsed="false">
      <c r="A69" s="2" t="n">
        <v>45480</v>
      </c>
      <c r="B69" s="3" t="n">
        <f aca="false">B68+E68</f>
        <v>154130.136986302</v>
      </c>
      <c r="C69" s="4"/>
      <c r="D69" s="3" t="n">
        <f aca="false">D68-C69</f>
        <v>150000</v>
      </c>
      <c r="E69" s="4" t="n">
        <f aca="false">D69*15%/365</f>
        <v>61.6438356164384</v>
      </c>
      <c r="F69" s="3" t="n">
        <f aca="false">F68+E69</f>
        <v>4191.78082191781</v>
      </c>
      <c r="G69" s="4"/>
    </row>
    <row r="70" customFormat="false" ht="15" hidden="false" customHeight="false" outlineLevel="0" collapsed="false">
      <c r="A70" s="2" t="n">
        <v>45481</v>
      </c>
      <c r="B70" s="3" t="n">
        <f aca="false">B69+E69</f>
        <v>154191.780821918</v>
      </c>
      <c r="C70" s="4"/>
      <c r="D70" s="3" t="n">
        <f aca="false">D69-C70</f>
        <v>150000</v>
      </c>
      <c r="E70" s="4" t="n">
        <f aca="false">D70*15%/365</f>
        <v>61.6438356164384</v>
      </c>
      <c r="F70" s="3" t="n">
        <f aca="false">F69+E70</f>
        <v>4253.42465753425</v>
      </c>
      <c r="G70" s="4"/>
    </row>
    <row r="71" customFormat="false" ht="15" hidden="false" customHeight="false" outlineLevel="0" collapsed="false">
      <c r="A71" s="2" t="n">
        <v>45482</v>
      </c>
      <c r="B71" s="3" t="n">
        <f aca="false">B70+E70</f>
        <v>154253.424657535</v>
      </c>
      <c r="C71" s="4"/>
      <c r="D71" s="3" t="n">
        <f aca="false">D70-C71</f>
        <v>150000</v>
      </c>
      <c r="E71" s="4" t="n">
        <f aca="false">D71*15%/365</f>
        <v>61.6438356164384</v>
      </c>
      <c r="F71" s="3" t="n">
        <f aca="false">F70+E71</f>
        <v>4315.06849315069</v>
      </c>
      <c r="G71" s="4"/>
    </row>
    <row r="72" customFormat="false" ht="15" hidden="false" customHeight="false" outlineLevel="0" collapsed="false">
      <c r="A72" s="2" t="n">
        <v>45483</v>
      </c>
      <c r="B72" s="3" t="n">
        <f aca="false">B71+E71</f>
        <v>154315.068493151</v>
      </c>
      <c r="C72" s="4"/>
      <c r="D72" s="3" t="n">
        <f aca="false">D71-C72</f>
        <v>150000</v>
      </c>
      <c r="E72" s="4" t="n">
        <f aca="false">D72*15%/365</f>
        <v>61.6438356164384</v>
      </c>
      <c r="F72" s="3" t="n">
        <f aca="false">F71+E72</f>
        <v>4376.71232876713</v>
      </c>
      <c r="G72" s="4"/>
    </row>
    <row r="73" customFormat="false" ht="15" hidden="false" customHeight="false" outlineLevel="0" collapsed="false">
      <c r="A73" s="2" t="n">
        <v>45484</v>
      </c>
      <c r="B73" s="3" t="n">
        <f aca="false">B72+E72</f>
        <v>154376.712328768</v>
      </c>
      <c r="C73" s="4"/>
      <c r="D73" s="3" t="n">
        <f aca="false">D72-C73</f>
        <v>150000</v>
      </c>
      <c r="E73" s="4" t="n">
        <f aca="false">D73*15%/365</f>
        <v>61.6438356164384</v>
      </c>
      <c r="F73" s="3" t="n">
        <f aca="false">F72+E73</f>
        <v>4438.35616438357</v>
      </c>
      <c r="G73" s="4"/>
    </row>
    <row r="74" customFormat="false" ht="15" hidden="false" customHeight="false" outlineLevel="0" collapsed="false">
      <c r="A74" s="2" t="n">
        <v>45485</v>
      </c>
      <c r="B74" s="3" t="n">
        <f aca="false">B73+E73</f>
        <v>154438.356164384</v>
      </c>
      <c r="C74" s="4"/>
      <c r="D74" s="3" t="n">
        <f aca="false">D73-C74</f>
        <v>150000</v>
      </c>
      <c r="E74" s="4" t="n">
        <f aca="false">D74*15%/365</f>
        <v>61.6438356164384</v>
      </c>
      <c r="F74" s="3" t="n">
        <f aca="false">F73+E74</f>
        <v>4500</v>
      </c>
      <c r="G74" s="4"/>
    </row>
    <row r="75" customFormat="false" ht="15" hidden="false" customHeight="false" outlineLevel="0" collapsed="false">
      <c r="A75" s="2" t="n">
        <v>45486</v>
      </c>
      <c r="B75" s="3" t="n">
        <f aca="false">B74+E74</f>
        <v>154500</v>
      </c>
      <c r="C75" s="4"/>
      <c r="D75" s="3" t="n">
        <f aca="false">D74-C75</f>
        <v>150000</v>
      </c>
      <c r="E75" s="4" t="n">
        <f aca="false">D75*15%/365</f>
        <v>61.6438356164384</v>
      </c>
      <c r="F75" s="3" t="n">
        <f aca="false">F74+E75</f>
        <v>4561.64383561644</v>
      </c>
      <c r="G75" s="4"/>
    </row>
    <row r="76" customFormat="false" ht="15" hidden="false" customHeight="false" outlineLevel="0" collapsed="false">
      <c r="A76" s="2" t="n">
        <v>45487</v>
      </c>
      <c r="B76" s="3" t="n">
        <f aca="false">B75+E75</f>
        <v>154561.643835617</v>
      </c>
      <c r="C76" s="4"/>
      <c r="D76" s="3" t="n">
        <f aca="false">D75-C76</f>
        <v>150000</v>
      </c>
      <c r="E76" s="4" t="n">
        <f aca="false">D76*15%/365</f>
        <v>61.6438356164384</v>
      </c>
      <c r="F76" s="3" t="n">
        <f aca="false">F75+E76</f>
        <v>4623.28767123288</v>
      </c>
      <c r="G76" s="4"/>
    </row>
    <row r="77" customFormat="false" ht="15" hidden="false" customHeight="false" outlineLevel="0" collapsed="false">
      <c r="A77" s="2" t="n">
        <v>45488</v>
      </c>
      <c r="B77" s="3" t="n">
        <f aca="false">B76+E76</f>
        <v>154623.287671233</v>
      </c>
      <c r="C77" s="4"/>
      <c r="D77" s="3" t="n">
        <f aca="false">D76-C77</f>
        <v>150000</v>
      </c>
      <c r="E77" s="4" t="n">
        <f aca="false">D77*15%/365</f>
        <v>61.6438356164384</v>
      </c>
      <c r="F77" s="3" t="n">
        <f aca="false">F76+E77</f>
        <v>4684.93150684932</v>
      </c>
      <c r="G77" s="4" t="n">
        <v>4000</v>
      </c>
    </row>
    <row r="78" customFormat="false" ht="15" hidden="false" customHeight="false" outlineLevel="0" collapsed="false">
      <c r="A78" s="2" t="n">
        <v>45489</v>
      </c>
      <c r="B78" s="3" t="n">
        <f aca="false">B77+E77</f>
        <v>154684.93150685</v>
      </c>
      <c r="C78" s="4"/>
      <c r="D78" s="3" t="n">
        <f aca="false">D77-C78</f>
        <v>150000</v>
      </c>
      <c r="E78" s="4" t="n">
        <f aca="false">D78*15%/365</f>
        <v>61.6438356164384</v>
      </c>
      <c r="F78" s="3" t="n">
        <f aca="false">F77+E78</f>
        <v>4746.57534246576</v>
      </c>
      <c r="G78" s="4"/>
    </row>
    <row r="79" customFormat="false" ht="15" hidden="false" customHeight="false" outlineLevel="0" collapsed="false">
      <c r="A79" s="2" t="n">
        <v>45490</v>
      </c>
      <c r="B79" s="3" t="n">
        <f aca="false">B78+E78</f>
        <v>154746.575342466</v>
      </c>
      <c r="C79" s="4"/>
      <c r="D79" s="3" t="n">
        <f aca="false">D78-C79</f>
        <v>150000</v>
      </c>
      <c r="E79" s="4" t="n">
        <f aca="false">D79*15%/365</f>
        <v>61.6438356164384</v>
      </c>
      <c r="F79" s="3" t="n">
        <f aca="false">F78+E79</f>
        <v>4808.21917808219</v>
      </c>
      <c r="G79" s="4"/>
    </row>
    <row r="80" customFormat="false" ht="15" hidden="false" customHeight="false" outlineLevel="0" collapsed="false">
      <c r="A80" s="2" t="n">
        <v>45491</v>
      </c>
      <c r="B80" s="3" t="n">
        <f aca="false">B79+E79</f>
        <v>154808.219178083</v>
      </c>
      <c r="C80" s="4"/>
      <c r="D80" s="3" t="n">
        <f aca="false">D79-C80</f>
        <v>150000</v>
      </c>
      <c r="E80" s="4" t="n">
        <f aca="false">D80*15%/365</f>
        <v>61.6438356164384</v>
      </c>
      <c r="F80" s="3" t="n">
        <f aca="false">F79+E80</f>
        <v>4869.86301369863</v>
      </c>
      <c r="G80" s="4"/>
    </row>
    <row r="81" customFormat="false" ht="15" hidden="false" customHeight="false" outlineLevel="0" collapsed="false">
      <c r="A81" s="2" t="n">
        <v>45492</v>
      </c>
      <c r="B81" s="3" t="n">
        <f aca="false">B80+E80</f>
        <v>154869.863013699</v>
      </c>
      <c r="C81" s="4"/>
      <c r="D81" s="3" t="n">
        <f aca="false">D80-C81</f>
        <v>150000</v>
      </c>
      <c r="E81" s="4" t="n">
        <f aca="false">D81*15%/365</f>
        <v>61.6438356164384</v>
      </c>
      <c r="F81" s="3" t="n">
        <f aca="false">F80+E81</f>
        <v>4931.50684931507</v>
      </c>
      <c r="G81" s="4"/>
    </row>
    <row r="82" customFormat="false" ht="15" hidden="false" customHeight="false" outlineLevel="0" collapsed="false">
      <c r="A82" s="2" t="n">
        <v>45493</v>
      </c>
      <c r="B82" s="3" t="n">
        <f aca="false">B81+E81</f>
        <v>154931.506849315</v>
      </c>
      <c r="C82" s="4"/>
      <c r="D82" s="3" t="n">
        <f aca="false">D81-C82</f>
        <v>150000</v>
      </c>
      <c r="E82" s="4" t="n">
        <f aca="false">D82*15%/365</f>
        <v>61.6438356164384</v>
      </c>
      <c r="F82" s="3" t="n">
        <f aca="false">F81+E82</f>
        <v>4993.15068493151</v>
      </c>
      <c r="G82" s="4"/>
    </row>
    <row r="83" customFormat="false" ht="15" hidden="false" customHeight="false" outlineLevel="0" collapsed="false">
      <c r="A83" s="2" t="n">
        <v>45494</v>
      </c>
      <c r="B83" s="3" t="n">
        <f aca="false">B82+E82</f>
        <v>154993.150684932</v>
      </c>
      <c r="C83" s="4"/>
      <c r="D83" s="3" t="n">
        <f aca="false">D82-C83</f>
        <v>150000</v>
      </c>
      <c r="E83" s="4" t="n">
        <f aca="false">D83*15%/365</f>
        <v>61.6438356164384</v>
      </c>
      <c r="F83" s="3" t="n">
        <f aca="false">F82+E83</f>
        <v>5054.79452054795</v>
      </c>
      <c r="G83" s="4"/>
    </row>
    <row r="84" customFormat="false" ht="15" hidden="false" customHeight="false" outlineLevel="0" collapsed="false">
      <c r="A84" s="2" t="n">
        <v>45495</v>
      </c>
      <c r="B84" s="3" t="n">
        <f aca="false">B83+E83</f>
        <v>155054.794520548</v>
      </c>
      <c r="C84" s="4"/>
      <c r="D84" s="3" t="n">
        <f aca="false">D83-C84</f>
        <v>150000</v>
      </c>
      <c r="E84" s="4" t="n">
        <f aca="false">D84*15%/365</f>
        <v>61.6438356164384</v>
      </c>
      <c r="F84" s="3" t="n">
        <f aca="false">F83+E84</f>
        <v>5116.43835616438</v>
      </c>
      <c r="G84" s="4"/>
    </row>
    <row r="85" customFormat="false" ht="15" hidden="false" customHeight="false" outlineLevel="0" collapsed="false">
      <c r="A85" s="2" t="n">
        <v>45496</v>
      </c>
      <c r="B85" s="3" t="n">
        <f aca="false">B84+E84</f>
        <v>155116.438356165</v>
      </c>
      <c r="C85" s="4"/>
      <c r="D85" s="3" t="n">
        <f aca="false">D84-C85</f>
        <v>150000</v>
      </c>
      <c r="E85" s="4" t="n">
        <f aca="false">D85*15%/365</f>
        <v>61.6438356164384</v>
      </c>
      <c r="F85" s="3" t="n">
        <f aca="false">F84+E85</f>
        <v>5178.08219178082</v>
      </c>
      <c r="G85" s="4"/>
    </row>
    <row r="86" customFormat="false" ht="15" hidden="false" customHeight="false" outlineLevel="0" collapsed="false">
      <c r="A86" s="2" t="n">
        <v>45497</v>
      </c>
      <c r="B86" s="3" t="n">
        <f aca="false">B85+E85</f>
        <v>155178.082191781</v>
      </c>
      <c r="C86" s="4"/>
      <c r="D86" s="3" t="n">
        <f aca="false">D85-C86</f>
        <v>150000</v>
      </c>
      <c r="E86" s="4" t="n">
        <f aca="false">D86*15%/365</f>
        <v>61.6438356164384</v>
      </c>
      <c r="F86" s="3" t="n">
        <f aca="false">F85+E86</f>
        <v>5239.72602739726</v>
      </c>
      <c r="G86" s="4"/>
    </row>
    <row r="87" customFormat="false" ht="15" hidden="false" customHeight="false" outlineLevel="0" collapsed="false">
      <c r="A87" s="2" t="n">
        <v>45498</v>
      </c>
      <c r="B87" s="3" t="n">
        <f aca="false">B86+E86</f>
        <v>155239.726027398</v>
      </c>
      <c r="C87" s="4"/>
      <c r="D87" s="3" t="n">
        <f aca="false">D86-C87</f>
        <v>150000</v>
      </c>
      <c r="E87" s="4" t="n">
        <f aca="false">D87*15%/365</f>
        <v>61.6438356164384</v>
      </c>
      <c r="F87" s="3" t="n">
        <f aca="false">F86+E87</f>
        <v>5301.3698630137</v>
      </c>
      <c r="G87" s="4"/>
    </row>
    <row r="88" customFormat="false" ht="15" hidden="false" customHeight="false" outlineLevel="0" collapsed="false">
      <c r="A88" s="2" t="n">
        <v>45499</v>
      </c>
      <c r="B88" s="3" t="n">
        <f aca="false">B87+E87</f>
        <v>155301.369863014</v>
      </c>
      <c r="C88" s="4"/>
      <c r="D88" s="3" t="n">
        <f aca="false">D87-C88</f>
        <v>150000</v>
      </c>
      <c r="E88" s="4" t="n">
        <f aca="false">D88*15%/365</f>
        <v>61.6438356164384</v>
      </c>
      <c r="F88" s="3" t="n">
        <f aca="false">F87+E88</f>
        <v>5363.01369863014</v>
      </c>
      <c r="G88" s="4"/>
    </row>
    <row r="89" customFormat="false" ht="15" hidden="false" customHeight="false" outlineLevel="0" collapsed="false">
      <c r="A89" s="2" t="n">
        <v>45500</v>
      </c>
      <c r="B89" s="3" t="n">
        <f aca="false">B88+E88</f>
        <v>155363.013698631</v>
      </c>
      <c r="C89" s="4"/>
      <c r="D89" s="3" t="n">
        <f aca="false">D88-C89</f>
        <v>150000</v>
      </c>
      <c r="E89" s="4" t="n">
        <f aca="false">D89*15%/365</f>
        <v>61.6438356164384</v>
      </c>
      <c r="F89" s="3" t="n">
        <f aca="false">F88+E89</f>
        <v>5424.65753424657</v>
      </c>
      <c r="G89" s="4"/>
    </row>
    <row r="90" customFormat="false" ht="15" hidden="false" customHeight="false" outlineLevel="0" collapsed="false">
      <c r="A90" s="2" t="n">
        <v>45501</v>
      </c>
      <c r="B90" s="3" t="n">
        <f aca="false">B89+E89</f>
        <v>155424.657534247</v>
      </c>
      <c r="C90" s="4"/>
      <c r="D90" s="3" t="n">
        <f aca="false">D89-C90</f>
        <v>150000</v>
      </c>
      <c r="E90" s="4" t="n">
        <f aca="false">D90*15%/365</f>
        <v>61.6438356164384</v>
      </c>
      <c r="F90" s="3" t="n">
        <f aca="false">F89+E90</f>
        <v>5486.30136986301</v>
      </c>
      <c r="G90" s="4"/>
    </row>
    <row r="91" customFormat="false" ht="15" hidden="false" customHeight="false" outlineLevel="0" collapsed="false">
      <c r="A91" s="2" t="n">
        <v>45502</v>
      </c>
      <c r="B91" s="3" t="n">
        <f aca="false">B90+E90</f>
        <v>155486.301369863</v>
      </c>
      <c r="C91" s="4"/>
      <c r="D91" s="3" t="n">
        <f aca="false">D90-C91</f>
        <v>150000</v>
      </c>
      <c r="E91" s="4" t="n">
        <f aca="false">D91*15%/365</f>
        <v>61.6438356164384</v>
      </c>
      <c r="F91" s="3" t="n">
        <f aca="false">F90+E91</f>
        <v>5547.94520547945</v>
      </c>
      <c r="G91" s="4"/>
    </row>
    <row r="92" customFormat="false" ht="15" hidden="false" customHeight="false" outlineLevel="0" collapsed="false">
      <c r="A92" s="2" t="n">
        <v>45503</v>
      </c>
      <c r="B92" s="3" t="n">
        <f aca="false">B91+E91</f>
        <v>155547.94520548</v>
      </c>
      <c r="C92" s="4"/>
      <c r="D92" s="3" t="n">
        <f aca="false">D91-C92</f>
        <v>150000</v>
      </c>
      <c r="E92" s="4" t="n">
        <f aca="false">D92*15%/365</f>
        <v>61.6438356164384</v>
      </c>
      <c r="F92" s="3" t="n">
        <f aca="false">F91+E92</f>
        <v>5609.58904109589</v>
      </c>
      <c r="G92" s="4"/>
    </row>
    <row r="93" customFormat="false" ht="15" hidden="false" customHeight="false" outlineLevel="0" collapsed="false">
      <c r="A93" s="2" t="n">
        <v>45504</v>
      </c>
      <c r="B93" s="3" t="n">
        <f aca="false">B92+E92</f>
        <v>155609.589041096</v>
      </c>
      <c r="C93" s="4"/>
      <c r="D93" s="3" t="n">
        <f aca="false">D92-C93</f>
        <v>150000</v>
      </c>
      <c r="E93" s="4" t="n">
        <f aca="false">D93*15%/365</f>
        <v>61.6438356164384</v>
      </c>
      <c r="F93" s="3" t="n">
        <f aca="false">F92+E93</f>
        <v>5671.23287671233</v>
      </c>
      <c r="G93" s="4"/>
      <c r="H93" s="0" t="n">
        <f aca="false">SUM(E2:E93)</f>
        <v>5671.23287671233</v>
      </c>
      <c r="I93" s="0" t="s">
        <v>7</v>
      </c>
    </row>
    <row r="94" customFormat="false" ht="15" hidden="false" customHeight="false" outlineLevel="0" collapsed="false">
      <c r="A94" s="2" t="n">
        <v>45505</v>
      </c>
      <c r="B94" s="3" t="n">
        <f aca="false">B93+E93</f>
        <v>155671.232876713</v>
      </c>
      <c r="C94" s="4"/>
      <c r="D94" s="3" t="n">
        <f aca="false">D93-C94</f>
        <v>150000</v>
      </c>
      <c r="E94" s="4" t="n">
        <f aca="false">D94*15%/365</f>
        <v>61.6438356164384</v>
      </c>
      <c r="F94" s="3" t="n">
        <f aca="false">F93+E94</f>
        <v>5732.87671232876</v>
      </c>
      <c r="G94" s="4"/>
    </row>
    <row r="95" customFormat="false" ht="15" hidden="false" customHeight="false" outlineLevel="0" collapsed="false">
      <c r="A95" s="2" t="n">
        <v>45506</v>
      </c>
      <c r="B95" s="3" t="n">
        <f aca="false">B94+E94</f>
        <v>155732.876712329</v>
      </c>
      <c r="C95" s="4"/>
      <c r="D95" s="3" t="n">
        <f aca="false">D94-C95</f>
        <v>150000</v>
      </c>
      <c r="E95" s="4" t="n">
        <f aca="false">D95*15%/365</f>
        <v>61.6438356164384</v>
      </c>
      <c r="F95" s="3" t="n">
        <f aca="false">F94+E95</f>
        <v>5794.5205479452</v>
      </c>
      <c r="G95" s="4"/>
    </row>
    <row r="96" customFormat="false" ht="15" hidden="false" customHeight="false" outlineLevel="0" collapsed="false">
      <c r="A96" s="2" t="n">
        <v>45507</v>
      </c>
      <c r="B96" s="3" t="n">
        <f aca="false">B95+E95</f>
        <v>155794.520547946</v>
      </c>
      <c r="C96" s="4"/>
      <c r="D96" s="3" t="n">
        <f aca="false">D95-C96</f>
        <v>150000</v>
      </c>
      <c r="E96" s="4" t="n">
        <f aca="false">D96*15%/365</f>
        <v>61.6438356164384</v>
      </c>
      <c r="F96" s="3" t="n">
        <f aca="false">F95+E96</f>
        <v>5856.16438356164</v>
      </c>
      <c r="G96" s="4"/>
    </row>
    <row r="97" customFormat="false" ht="15" hidden="false" customHeight="false" outlineLevel="0" collapsed="false">
      <c r="A97" s="2" t="n">
        <v>45508</v>
      </c>
      <c r="B97" s="3" t="n">
        <f aca="false">B96+E96</f>
        <v>155856.164383562</v>
      </c>
      <c r="C97" s="4"/>
      <c r="D97" s="3" t="n">
        <f aca="false">D96-C97</f>
        <v>150000</v>
      </c>
      <c r="E97" s="4" t="n">
        <f aca="false">D97*15%/365</f>
        <v>61.6438356164384</v>
      </c>
      <c r="F97" s="3" t="n">
        <f aca="false">F96+E97</f>
        <v>5917.80821917808</v>
      </c>
      <c r="G97" s="4"/>
    </row>
    <row r="98" customFormat="false" ht="15" hidden="false" customHeight="false" outlineLevel="0" collapsed="false">
      <c r="A98" s="2" t="n">
        <v>45509</v>
      </c>
      <c r="B98" s="3" t="n">
        <f aca="false">B97+E97</f>
        <v>155917.808219179</v>
      </c>
      <c r="C98" s="4"/>
      <c r="D98" s="3" t="n">
        <f aca="false">D97-C98</f>
        <v>150000</v>
      </c>
      <c r="E98" s="4" t="n">
        <f aca="false">D98*15%/365</f>
        <v>61.6438356164384</v>
      </c>
      <c r="F98" s="3" t="n">
        <f aca="false">F97+E98</f>
        <v>5979.45205479452</v>
      </c>
      <c r="G98" s="4"/>
    </row>
    <row r="99" customFormat="false" ht="15" hidden="false" customHeight="false" outlineLevel="0" collapsed="false">
      <c r="A99" s="2" t="n">
        <v>45510</v>
      </c>
      <c r="B99" s="3" t="n">
        <f aca="false">B98+E98</f>
        <v>155979.452054795</v>
      </c>
      <c r="C99" s="4"/>
      <c r="D99" s="3" t="n">
        <f aca="false">D98-C99</f>
        <v>150000</v>
      </c>
      <c r="E99" s="4" t="n">
        <f aca="false">D99*15%/365</f>
        <v>61.6438356164384</v>
      </c>
      <c r="F99" s="3" t="n">
        <f aca="false">F98+E99</f>
        <v>6041.09589041096</v>
      </c>
      <c r="G99" s="4"/>
    </row>
    <row r="100" customFormat="false" ht="15" hidden="false" customHeight="false" outlineLevel="0" collapsed="false">
      <c r="A100" s="2" t="n">
        <v>45511</v>
      </c>
      <c r="B100" s="3" t="n">
        <f aca="false">B99+E99</f>
        <v>156041.095890411</v>
      </c>
      <c r="C100" s="4"/>
      <c r="D100" s="3" t="n">
        <f aca="false">D99-C100</f>
        <v>150000</v>
      </c>
      <c r="E100" s="4" t="n">
        <f aca="false">D100*15%/365</f>
        <v>61.6438356164384</v>
      </c>
      <c r="F100" s="3" t="n">
        <f aca="false">F99+E100</f>
        <v>6102.73972602739</v>
      </c>
      <c r="G100" s="4"/>
    </row>
    <row r="101" customFormat="false" ht="15" hidden="false" customHeight="false" outlineLevel="0" collapsed="false">
      <c r="A101" s="2" t="n">
        <v>45512</v>
      </c>
      <c r="B101" s="3" t="n">
        <f aca="false">B100+E100</f>
        <v>156102.739726028</v>
      </c>
      <c r="C101" s="4"/>
      <c r="D101" s="3" t="n">
        <f aca="false">D100-C101</f>
        <v>150000</v>
      </c>
      <c r="E101" s="4" t="n">
        <f aca="false">D101*15%/365</f>
        <v>61.6438356164384</v>
      </c>
      <c r="F101" s="3" t="n">
        <f aca="false">F100+E101</f>
        <v>6164.38356164383</v>
      </c>
      <c r="G101" s="4" t="n">
        <v>2000</v>
      </c>
    </row>
    <row r="102" customFormat="false" ht="15" hidden="false" customHeight="false" outlineLevel="0" collapsed="false">
      <c r="A102" s="2" t="n">
        <v>45513</v>
      </c>
      <c r="B102" s="3" t="n">
        <f aca="false">B101+E101</f>
        <v>156164.383561644</v>
      </c>
      <c r="C102" s="4"/>
      <c r="D102" s="3" t="n">
        <f aca="false">D101-C102</f>
        <v>150000</v>
      </c>
      <c r="E102" s="4" t="n">
        <f aca="false">D102*15%/365</f>
        <v>61.6438356164384</v>
      </c>
      <c r="F102" s="3" t="n">
        <f aca="false">F101+E102</f>
        <v>6226.02739726027</v>
      </c>
      <c r="G102" s="4"/>
    </row>
    <row r="103" customFormat="false" ht="15" hidden="false" customHeight="false" outlineLevel="0" collapsed="false">
      <c r="A103" s="2" t="n">
        <v>45514</v>
      </c>
      <c r="B103" s="3" t="n">
        <f aca="false">B102+E102</f>
        <v>156226.027397261</v>
      </c>
      <c r="C103" s="4"/>
      <c r="D103" s="3" t="n">
        <f aca="false">D102-C103</f>
        <v>150000</v>
      </c>
      <c r="E103" s="4" t="n">
        <f aca="false">D103*15%/365</f>
        <v>61.6438356164384</v>
      </c>
      <c r="F103" s="3" t="n">
        <f aca="false">F102+E103</f>
        <v>6287.67123287671</v>
      </c>
      <c r="G103" s="4"/>
    </row>
    <row r="104" customFormat="false" ht="15" hidden="false" customHeight="false" outlineLevel="0" collapsed="false">
      <c r="A104" s="2" t="n">
        <v>45515</v>
      </c>
      <c r="B104" s="3" t="n">
        <f aca="false">B103+E103</f>
        <v>156287.671232877</v>
      </c>
      <c r="C104" s="4"/>
      <c r="D104" s="3" t="n">
        <f aca="false">D103-C104</f>
        <v>150000</v>
      </c>
      <c r="E104" s="4" t="n">
        <f aca="false">D104*15%/365</f>
        <v>61.6438356164384</v>
      </c>
      <c r="F104" s="3" t="n">
        <f aca="false">F103+E104</f>
        <v>6349.31506849315</v>
      </c>
      <c r="G104" s="4"/>
    </row>
    <row r="105" customFormat="false" ht="15" hidden="false" customHeight="false" outlineLevel="0" collapsed="false">
      <c r="A105" s="2" t="n">
        <v>45516</v>
      </c>
      <c r="B105" s="3" t="n">
        <f aca="false">B104+E104</f>
        <v>156349.315068494</v>
      </c>
      <c r="C105" s="4"/>
      <c r="D105" s="3" t="n">
        <f aca="false">D104-C105</f>
        <v>150000</v>
      </c>
      <c r="E105" s="4" t="n">
        <f aca="false">D105*15%/365</f>
        <v>61.6438356164384</v>
      </c>
      <c r="F105" s="3" t="n">
        <f aca="false">F104+E105</f>
        <v>6410.95890410958</v>
      </c>
      <c r="G105" s="4"/>
    </row>
    <row r="106" customFormat="false" ht="15" hidden="false" customHeight="false" outlineLevel="0" collapsed="false">
      <c r="A106" s="2" t="n">
        <v>45517</v>
      </c>
      <c r="B106" s="3" t="n">
        <f aca="false">B105+E105</f>
        <v>156410.95890411</v>
      </c>
      <c r="C106" s="4"/>
      <c r="D106" s="3" t="n">
        <f aca="false">D105-C106</f>
        <v>150000</v>
      </c>
      <c r="E106" s="4" t="n">
        <f aca="false">D106*15%/365</f>
        <v>61.6438356164384</v>
      </c>
      <c r="F106" s="3" t="n">
        <f aca="false">F105+E106</f>
        <v>6472.60273972602</v>
      </c>
      <c r="G106" s="4"/>
    </row>
    <row r="107" customFormat="false" ht="15" hidden="false" customHeight="false" outlineLevel="0" collapsed="false">
      <c r="A107" s="2" t="n">
        <v>45518</v>
      </c>
      <c r="B107" s="3" t="n">
        <f aca="false">B106+E106</f>
        <v>156472.602739727</v>
      </c>
      <c r="C107" s="4"/>
      <c r="D107" s="3" t="n">
        <f aca="false">D106-C107</f>
        <v>150000</v>
      </c>
      <c r="E107" s="4" t="n">
        <f aca="false">D107*15%/365</f>
        <v>61.6438356164384</v>
      </c>
      <c r="F107" s="3" t="n">
        <f aca="false">F106+E107</f>
        <v>6534.24657534246</v>
      </c>
      <c r="G107" s="4"/>
    </row>
    <row r="108" customFormat="false" ht="15" hidden="false" customHeight="false" outlineLevel="0" collapsed="false">
      <c r="A108" s="2" t="n">
        <v>45519</v>
      </c>
      <c r="B108" s="3" t="n">
        <f aca="false">B107+E107</f>
        <v>156534.246575343</v>
      </c>
      <c r="C108" s="4"/>
      <c r="D108" s="3" t="n">
        <f aca="false">D107-C108</f>
        <v>150000</v>
      </c>
      <c r="E108" s="4" t="n">
        <f aca="false">D108*15%/365</f>
        <v>61.6438356164384</v>
      </c>
      <c r="F108" s="3" t="n">
        <f aca="false">F107+E108</f>
        <v>6595.8904109589</v>
      </c>
      <c r="G108" s="4"/>
    </row>
    <row r="109" customFormat="false" ht="15" hidden="false" customHeight="false" outlineLevel="0" collapsed="false">
      <c r="A109" s="2" t="n">
        <v>45520</v>
      </c>
      <c r="B109" s="3" t="n">
        <f aca="false">B108+E108</f>
        <v>156595.890410959</v>
      </c>
      <c r="C109" s="4"/>
      <c r="D109" s="3" t="n">
        <f aca="false">D108-C109</f>
        <v>150000</v>
      </c>
      <c r="E109" s="4" t="n">
        <f aca="false">D109*15%/365</f>
        <v>61.6438356164384</v>
      </c>
      <c r="F109" s="3" t="n">
        <f aca="false">F108+E109</f>
        <v>6657.53424657534</v>
      </c>
      <c r="G109" s="4"/>
    </row>
    <row r="110" customFormat="false" ht="15" hidden="false" customHeight="false" outlineLevel="0" collapsed="false">
      <c r="A110" s="2" t="n">
        <v>45521</v>
      </c>
      <c r="B110" s="3" t="n">
        <f aca="false">B109+E109</f>
        <v>156657.534246576</v>
      </c>
      <c r="C110" s="4"/>
      <c r="D110" s="3" t="n">
        <f aca="false">D109-C110</f>
        <v>150000</v>
      </c>
      <c r="E110" s="4" t="n">
        <f aca="false">D110*15%/365</f>
        <v>61.6438356164384</v>
      </c>
      <c r="F110" s="3" t="n">
        <f aca="false">F109+E110</f>
        <v>6719.17808219177</v>
      </c>
      <c r="G110" s="4"/>
    </row>
    <row r="111" customFormat="false" ht="15" hidden="false" customHeight="false" outlineLevel="0" collapsed="false">
      <c r="A111" s="2" t="n">
        <v>45522</v>
      </c>
      <c r="B111" s="3" t="n">
        <f aca="false">B110+E110</f>
        <v>156719.178082192</v>
      </c>
      <c r="C111" s="4"/>
      <c r="D111" s="3" t="n">
        <f aca="false">D110-C111</f>
        <v>150000</v>
      </c>
      <c r="E111" s="4" t="n">
        <f aca="false">D111*15%/365</f>
        <v>61.6438356164384</v>
      </c>
      <c r="F111" s="3" t="n">
        <f aca="false">F110+E111</f>
        <v>6780.82191780821</v>
      </c>
      <c r="G111" s="4"/>
    </row>
    <row r="112" customFormat="false" ht="15" hidden="false" customHeight="false" outlineLevel="0" collapsed="false">
      <c r="A112" s="2" t="n">
        <v>45523</v>
      </c>
      <c r="B112" s="3" t="n">
        <f aca="false">B111+E111</f>
        <v>156780.821917809</v>
      </c>
      <c r="C112" s="4"/>
      <c r="D112" s="3" t="n">
        <f aca="false">D111-C112</f>
        <v>150000</v>
      </c>
      <c r="E112" s="4" t="n">
        <f aca="false">D112*15%/365</f>
        <v>61.6438356164384</v>
      </c>
      <c r="F112" s="3" t="n">
        <f aca="false">F111+E112</f>
        <v>6842.46575342465</v>
      </c>
      <c r="G112" s="4"/>
    </row>
    <row r="113" customFormat="false" ht="15" hidden="false" customHeight="false" outlineLevel="0" collapsed="false">
      <c r="A113" s="2" t="n">
        <v>45524</v>
      </c>
      <c r="B113" s="3" t="n">
        <f aca="false">B112+E112</f>
        <v>156842.465753425</v>
      </c>
      <c r="C113" s="4"/>
      <c r="D113" s="3" t="n">
        <f aca="false">D112-C113</f>
        <v>150000</v>
      </c>
      <c r="E113" s="4" t="n">
        <f aca="false">D113*15%/365</f>
        <v>61.6438356164384</v>
      </c>
      <c r="F113" s="3" t="n">
        <f aca="false">F112+E113</f>
        <v>6904.10958904109</v>
      </c>
      <c r="G113" s="4"/>
    </row>
    <row r="114" customFormat="false" ht="15" hidden="false" customHeight="false" outlineLevel="0" collapsed="false">
      <c r="A114" s="2" t="n">
        <v>45525</v>
      </c>
      <c r="B114" s="3" t="n">
        <f aca="false">B113+E113</f>
        <v>156904.109589042</v>
      </c>
      <c r="C114" s="4"/>
      <c r="D114" s="3" t="n">
        <f aca="false">D113-C114</f>
        <v>150000</v>
      </c>
      <c r="E114" s="4" t="n">
        <f aca="false">D114*15%/365</f>
        <v>61.6438356164384</v>
      </c>
      <c r="F114" s="3" t="n">
        <f aca="false">F113+E114</f>
        <v>6965.75342465753</v>
      </c>
      <c r="G114" s="4"/>
    </row>
    <row r="115" customFormat="false" ht="15" hidden="false" customHeight="false" outlineLevel="0" collapsed="false">
      <c r="A115" s="2" t="n">
        <v>45526</v>
      </c>
      <c r="B115" s="3" t="n">
        <f aca="false">B114+E114</f>
        <v>156965.753424658</v>
      </c>
      <c r="C115" s="4"/>
      <c r="D115" s="3" t="n">
        <f aca="false">D114-C115</f>
        <v>150000</v>
      </c>
      <c r="E115" s="4" t="n">
        <f aca="false">D115*15%/365</f>
        <v>61.6438356164384</v>
      </c>
      <c r="F115" s="3" t="n">
        <f aca="false">F114+E115</f>
        <v>7027.39726027396</v>
      </c>
      <c r="G115" s="4"/>
    </row>
    <row r="116" customFormat="false" ht="15" hidden="false" customHeight="false" outlineLevel="0" collapsed="false">
      <c r="A116" s="2" t="n">
        <v>45527</v>
      </c>
      <c r="B116" s="3" t="n">
        <f aca="false">B115+E115</f>
        <v>157027.397260275</v>
      </c>
      <c r="C116" s="4" t="n">
        <v>10000</v>
      </c>
      <c r="D116" s="3" t="n">
        <f aca="false">D115-C116</f>
        <v>140000</v>
      </c>
      <c r="E116" s="4" t="n">
        <f aca="false">D116*15%/365</f>
        <v>57.5342465753425</v>
      </c>
      <c r="F116" s="3" t="n">
        <f aca="false">F115+E116</f>
        <v>7084.93150684931</v>
      </c>
      <c r="G116" s="4"/>
    </row>
    <row r="117" customFormat="false" ht="15" hidden="false" customHeight="false" outlineLevel="0" collapsed="false">
      <c r="A117" s="2" t="n">
        <v>45528</v>
      </c>
      <c r="B117" s="3" t="n">
        <f aca="false">B116+E116</f>
        <v>157084.93150685</v>
      </c>
      <c r="C117" s="4"/>
      <c r="D117" s="3" t="n">
        <f aca="false">D116-C117</f>
        <v>140000</v>
      </c>
      <c r="E117" s="4" t="n">
        <f aca="false">D117*15%/365</f>
        <v>57.5342465753425</v>
      </c>
      <c r="F117" s="3" t="n">
        <f aca="false">F116+E117</f>
        <v>7142.46575342465</v>
      </c>
      <c r="G117" s="4"/>
    </row>
    <row r="118" customFormat="false" ht="15" hidden="false" customHeight="false" outlineLevel="0" collapsed="false">
      <c r="A118" s="2" t="n">
        <v>45529</v>
      </c>
      <c r="B118" s="3" t="n">
        <f aca="false">B117+E117</f>
        <v>157142.465753425</v>
      </c>
      <c r="C118" s="4"/>
      <c r="D118" s="3" t="n">
        <f aca="false">D117-C118</f>
        <v>140000</v>
      </c>
      <c r="E118" s="4" t="n">
        <f aca="false">D118*15%/365</f>
        <v>57.5342465753425</v>
      </c>
      <c r="F118" s="3" t="n">
        <f aca="false">F117+E118</f>
        <v>7199.99999999999</v>
      </c>
      <c r="G118" s="4"/>
    </row>
    <row r="119" customFormat="false" ht="15" hidden="false" customHeight="false" outlineLevel="0" collapsed="false">
      <c r="A119" s="2" t="n">
        <v>45530</v>
      </c>
      <c r="B119" s="3" t="n">
        <f aca="false">B118+E118</f>
        <v>157200.000000001</v>
      </c>
      <c r="C119" s="4"/>
      <c r="D119" s="3" t="n">
        <f aca="false">D118-C119</f>
        <v>140000</v>
      </c>
      <c r="E119" s="4" t="n">
        <f aca="false">D119*15%/365</f>
        <v>57.5342465753425</v>
      </c>
      <c r="F119" s="3" t="n">
        <f aca="false">F118+E119</f>
        <v>7257.53424657534</v>
      </c>
      <c r="G119" s="4"/>
    </row>
    <row r="120" customFormat="false" ht="15" hidden="false" customHeight="false" outlineLevel="0" collapsed="false">
      <c r="A120" s="2" t="n">
        <v>45531</v>
      </c>
      <c r="B120" s="3" t="n">
        <f aca="false">B119+E119</f>
        <v>157257.534246576</v>
      </c>
      <c r="C120" s="4"/>
      <c r="D120" s="3" t="n">
        <f aca="false">D119-C120</f>
        <v>140000</v>
      </c>
      <c r="E120" s="4" t="n">
        <f aca="false">D120*15%/365</f>
        <v>57.5342465753425</v>
      </c>
      <c r="F120" s="3" t="n">
        <f aca="false">F119+E120</f>
        <v>7315.06849315068</v>
      </c>
      <c r="G120" s="4"/>
    </row>
    <row r="121" customFormat="false" ht="15" hidden="false" customHeight="false" outlineLevel="0" collapsed="false">
      <c r="A121" s="2" t="n">
        <v>45532</v>
      </c>
      <c r="B121" s="3" t="n">
        <f aca="false">B120+E120</f>
        <v>157315.068493151</v>
      </c>
      <c r="C121" s="4"/>
      <c r="D121" s="3" t="n">
        <f aca="false">D120-C121</f>
        <v>140000</v>
      </c>
      <c r="E121" s="4" t="n">
        <f aca="false">D121*15%/365</f>
        <v>57.5342465753425</v>
      </c>
      <c r="F121" s="3" t="n">
        <f aca="false">F120+E121</f>
        <v>7372.60273972602</v>
      </c>
      <c r="G121" s="4"/>
    </row>
    <row r="122" customFormat="false" ht="15" hidden="false" customHeight="false" outlineLevel="0" collapsed="false">
      <c r="A122" s="2" t="n">
        <v>45533</v>
      </c>
      <c r="B122" s="3" t="n">
        <f aca="false">B121+E121</f>
        <v>157372.602739727</v>
      </c>
      <c r="C122" s="4"/>
      <c r="D122" s="3" t="n">
        <f aca="false">D121-C122</f>
        <v>140000</v>
      </c>
      <c r="E122" s="4" t="n">
        <f aca="false">D122*15%/365</f>
        <v>57.5342465753425</v>
      </c>
      <c r="F122" s="3" t="n">
        <f aca="false">F121+E122</f>
        <v>7430.13698630136</v>
      </c>
      <c r="G122" s="4"/>
    </row>
    <row r="123" customFormat="false" ht="15" hidden="false" customHeight="false" outlineLevel="0" collapsed="false">
      <c r="A123" s="2" t="n">
        <v>45534</v>
      </c>
      <c r="B123" s="3" t="n">
        <f aca="false">B122+E122</f>
        <v>157430.136986302</v>
      </c>
      <c r="C123" s="4"/>
      <c r="D123" s="3" t="n">
        <f aca="false">D122-C123</f>
        <v>140000</v>
      </c>
      <c r="E123" s="4" t="n">
        <f aca="false">D123*15%/365</f>
        <v>57.5342465753425</v>
      </c>
      <c r="F123" s="3" t="n">
        <f aca="false">F122+E123</f>
        <v>7487.67123287671</v>
      </c>
      <c r="G123" s="4"/>
    </row>
    <row r="124" customFormat="false" ht="15" hidden="false" customHeight="false" outlineLevel="0" collapsed="false">
      <c r="A124" s="2" t="n">
        <v>45535</v>
      </c>
      <c r="B124" s="3" t="n">
        <f aca="false">B123+E123</f>
        <v>157487.671232877</v>
      </c>
      <c r="C124" s="4"/>
      <c r="D124" s="3" t="n">
        <f aca="false">D123-C124</f>
        <v>140000</v>
      </c>
      <c r="E124" s="4" t="n">
        <f aca="false">D124*15%/365</f>
        <v>57.5342465753425</v>
      </c>
      <c r="F124" s="3" t="n">
        <f aca="false">F123+E124</f>
        <v>7545.20547945205</v>
      </c>
      <c r="G124" s="4"/>
    </row>
    <row r="125" customFormat="false" ht="15" hidden="false" customHeight="false" outlineLevel="0" collapsed="false">
      <c r="A125" s="2" t="n">
        <v>45536</v>
      </c>
      <c r="B125" s="3" t="n">
        <f aca="false">B124+E124</f>
        <v>157545.205479453</v>
      </c>
      <c r="C125" s="4"/>
      <c r="D125" s="3" t="n">
        <f aca="false">D124-C125</f>
        <v>140000</v>
      </c>
      <c r="E125" s="4" t="n">
        <f aca="false">D125*15%/365</f>
        <v>57.5342465753425</v>
      </c>
      <c r="F125" s="3" t="n">
        <f aca="false">F124+E125</f>
        <v>7602.73972602739</v>
      </c>
      <c r="G125" s="4"/>
    </row>
    <row r="126" customFormat="false" ht="15" hidden="false" customHeight="false" outlineLevel="0" collapsed="false">
      <c r="A126" s="2" t="n">
        <v>45537</v>
      </c>
      <c r="B126" s="3" t="n">
        <f aca="false">B125+E125</f>
        <v>157602.739726028</v>
      </c>
      <c r="C126" s="4"/>
      <c r="D126" s="3" t="n">
        <f aca="false">D125-C126</f>
        <v>140000</v>
      </c>
      <c r="E126" s="4" t="n">
        <f aca="false">D126*15%/365</f>
        <v>57.5342465753425</v>
      </c>
      <c r="F126" s="3" t="n">
        <f aca="false">F125+E126</f>
        <v>7660.27397260274</v>
      </c>
      <c r="G126" s="4"/>
    </row>
    <row r="127" customFormat="false" ht="15" hidden="false" customHeight="false" outlineLevel="0" collapsed="false">
      <c r="A127" s="2" t="n">
        <v>45538</v>
      </c>
      <c r="B127" s="3" t="n">
        <f aca="false">B126+E126</f>
        <v>157660.273972603</v>
      </c>
      <c r="C127" s="4" t="n">
        <v>10000</v>
      </c>
      <c r="D127" s="3" t="n">
        <f aca="false">D126-C127</f>
        <v>130000</v>
      </c>
      <c r="E127" s="4" t="n">
        <f aca="false">D127*15%/365</f>
        <v>53.4246575342466</v>
      </c>
      <c r="F127" s="3" t="n">
        <f aca="false">F126+E127</f>
        <v>7713.69863013698</v>
      </c>
      <c r="G127" s="4"/>
    </row>
    <row r="128" customFormat="false" ht="15" hidden="false" customHeight="false" outlineLevel="0" collapsed="false">
      <c r="A128" s="2" t="n">
        <v>45539</v>
      </c>
      <c r="B128" s="3" t="n">
        <f aca="false">B127+E127</f>
        <v>157713.698630138</v>
      </c>
      <c r="C128" s="4"/>
      <c r="D128" s="3" t="n">
        <f aca="false">D127-C128</f>
        <v>130000</v>
      </c>
      <c r="E128" s="4" t="n">
        <f aca="false">D128*15%/365</f>
        <v>53.4246575342466</v>
      </c>
      <c r="F128" s="3" t="n">
        <f aca="false">F127+E128</f>
        <v>7767.12328767123</v>
      </c>
      <c r="G128" s="4"/>
    </row>
    <row r="129" customFormat="false" ht="15" hidden="false" customHeight="false" outlineLevel="0" collapsed="false">
      <c r="A129" s="2" t="n">
        <v>45540</v>
      </c>
      <c r="B129" s="3" t="n">
        <f aca="false">B128+E128</f>
        <v>157767.123287672</v>
      </c>
      <c r="C129" s="4"/>
      <c r="D129" s="3" t="n">
        <f aca="false">D128-C129</f>
        <v>130000</v>
      </c>
      <c r="E129" s="4" t="n">
        <f aca="false">D129*15%/365</f>
        <v>53.4246575342466</v>
      </c>
      <c r="F129" s="3" t="n">
        <f aca="false">F128+E129</f>
        <v>7820.54794520548</v>
      </c>
      <c r="G129" s="4"/>
    </row>
    <row r="130" customFormat="false" ht="15" hidden="false" customHeight="false" outlineLevel="0" collapsed="false">
      <c r="A130" s="2" t="n">
        <v>45541</v>
      </c>
      <c r="B130" s="3" t="n">
        <f aca="false">B129+E129</f>
        <v>157820.547945206</v>
      </c>
      <c r="C130" s="4"/>
      <c r="D130" s="3" t="n">
        <f aca="false">D129-C130</f>
        <v>130000</v>
      </c>
      <c r="E130" s="4" t="n">
        <f aca="false">D130*15%/365</f>
        <v>53.4246575342466</v>
      </c>
      <c r="F130" s="3" t="n">
        <f aca="false">F129+E130</f>
        <v>7873.97260273972</v>
      </c>
      <c r="G130" s="4"/>
    </row>
    <row r="131" customFormat="false" ht="15" hidden="false" customHeight="false" outlineLevel="0" collapsed="false">
      <c r="A131" s="2" t="n">
        <v>45542</v>
      </c>
      <c r="B131" s="3" t="n">
        <f aca="false">B130+E130</f>
        <v>157873.97260274</v>
      </c>
      <c r="C131" s="4"/>
      <c r="D131" s="3" t="n">
        <f aca="false">D130-C131</f>
        <v>130000</v>
      </c>
      <c r="E131" s="4" t="n">
        <f aca="false">D131*15%/365</f>
        <v>53.4246575342466</v>
      </c>
      <c r="F131" s="3" t="n">
        <f aca="false">F130+E131</f>
        <v>7927.39726027397</v>
      </c>
      <c r="G131" s="4"/>
    </row>
    <row r="132" customFormat="false" ht="15" hidden="false" customHeight="false" outlineLevel="0" collapsed="false">
      <c r="A132" s="2" t="n">
        <v>45543</v>
      </c>
      <c r="B132" s="3" t="n">
        <f aca="false">B131+E131</f>
        <v>157927.397260275</v>
      </c>
      <c r="C132" s="4"/>
      <c r="D132" s="3" t="n">
        <f aca="false">D131-C132</f>
        <v>130000</v>
      </c>
      <c r="E132" s="4" t="n">
        <f aca="false">D132*15%/365</f>
        <v>53.4246575342466</v>
      </c>
      <c r="F132" s="3" t="n">
        <f aca="false">F131+E132</f>
        <v>7980.82191780822</v>
      </c>
      <c r="G132" s="4"/>
    </row>
    <row r="133" customFormat="false" ht="15" hidden="false" customHeight="false" outlineLevel="0" collapsed="false">
      <c r="A133" s="2" t="n">
        <v>45544</v>
      </c>
      <c r="B133" s="3" t="n">
        <f aca="false">B132+E132</f>
        <v>157980.821917809</v>
      </c>
      <c r="C133" s="4"/>
      <c r="D133" s="3" t="n">
        <f aca="false">D132-C133</f>
        <v>130000</v>
      </c>
      <c r="E133" s="4" t="n">
        <f aca="false">D133*15%/365</f>
        <v>53.4246575342466</v>
      </c>
      <c r="F133" s="3" t="n">
        <f aca="false">F132+E133</f>
        <v>8034.24657534246</v>
      </c>
      <c r="G133" s="4"/>
    </row>
    <row r="134" customFormat="false" ht="15" hidden="false" customHeight="false" outlineLevel="0" collapsed="false">
      <c r="A134" s="2" t="n">
        <v>45545</v>
      </c>
      <c r="B134" s="3" t="n">
        <f aca="false">B133+E133</f>
        <v>158034.246575343</v>
      </c>
      <c r="C134" s="4"/>
      <c r="D134" s="3" t="n">
        <f aca="false">D133-C134</f>
        <v>130000</v>
      </c>
      <c r="E134" s="4" t="n">
        <f aca="false">D134*15%/365</f>
        <v>53.4246575342466</v>
      </c>
      <c r="F134" s="3" t="n">
        <f aca="false">F133+E134</f>
        <v>8087.67123287671</v>
      </c>
      <c r="G134" s="4"/>
    </row>
    <row r="135" customFormat="false" ht="15" hidden="false" customHeight="false" outlineLevel="0" collapsed="false">
      <c r="A135" s="2" t="n">
        <v>45546</v>
      </c>
      <c r="B135" s="3" t="n">
        <f aca="false">B134+E134</f>
        <v>158087.671232877</v>
      </c>
      <c r="C135" s="4"/>
      <c r="D135" s="3" t="n">
        <f aca="false">D134-C135</f>
        <v>130000</v>
      </c>
      <c r="E135" s="4" t="n">
        <f aca="false">D135*15%/365</f>
        <v>53.4246575342466</v>
      </c>
      <c r="F135" s="3" t="n">
        <f aca="false">F134+E135</f>
        <v>8141.09589041096</v>
      </c>
      <c r="G135" s="4"/>
    </row>
    <row r="136" customFormat="false" ht="15" hidden="false" customHeight="false" outlineLevel="0" collapsed="false">
      <c r="A136" s="2" t="n">
        <v>45547</v>
      </c>
      <c r="B136" s="3" t="n">
        <f aca="false">B135+E135</f>
        <v>158141.095890412</v>
      </c>
      <c r="C136" s="4"/>
      <c r="D136" s="3" t="n">
        <f aca="false">D135-C136</f>
        <v>130000</v>
      </c>
      <c r="E136" s="4" t="n">
        <f aca="false">D136*15%/365</f>
        <v>53.4246575342466</v>
      </c>
      <c r="F136" s="3" t="n">
        <f aca="false">F135+E136</f>
        <v>8194.5205479452</v>
      </c>
      <c r="G136" s="4"/>
    </row>
    <row r="137" customFormat="false" ht="15" hidden="false" customHeight="false" outlineLevel="0" collapsed="false">
      <c r="A137" s="2" t="n">
        <v>45548</v>
      </c>
      <c r="B137" s="3" t="n">
        <f aca="false">B136+E136</f>
        <v>158194.520547946</v>
      </c>
      <c r="C137" s="4"/>
      <c r="D137" s="3" t="n">
        <f aca="false">D136-C137</f>
        <v>130000</v>
      </c>
      <c r="E137" s="4" t="n">
        <f aca="false">D137*15%/365</f>
        <v>53.4246575342466</v>
      </c>
      <c r="F137" s="3" t="n">
        <f aca="false">F136+E137</f>
        <v>8247.94520547945</v>
      </c>
      <c r="G137" s="4"/>
    </row>
    <row r="138" customFormat="false" ht="15" hidden="false" customHeight="false" outlineLevel="0" collapsed="false">
      <c r="A138" s="2" t="n">
        <v>45549</v>
      </c>
      <c r="B138" s="3" t="n">
        <f aca="false">B137+E137</f>
        <v>158247.94520548</v>
      </c>
      <c r="C138" s="4"/>
      <c r="D138" s="3" t="n">
        <f aca="false">D137-C138</f>
        <v>130000</v>
      </c>
      <c r="E138" s="4" t="n">
        <f aca="false">D138*15%/365</f>
        <v>53.4246575342466</v>
      </c>
      <c r="F138" s="3" t="n">
        <f aca="false">F137+E138</f>
        <v>8301.3698630137</v>
      </c>
      <c r="G138" s="4"/>
    </row>
    <row r="139" customFormat="false" ht="15" hidden="false" customHeight="false" outlineLevel="0" collapsed="false">
      <c r="A139" s="2" t="n">
        <v>45550</v>
      </c>
      <c r="B139" s="3" t="n">
        <f aca="false">B138+E138</f>
        <v>158301.369863014</v>
      </c>
      <c r="C139" s="4"/>
      <c r="D139" s="3" t="n">
        <f aca="false">D138-C139</f>
        <v>130000</v>
      </c>
      <c r="E139" s="4" t="n">
        <f aca="false">D139*15%/365</f>
        <v>53.4246575342466</v>
      </c>
      <c r="F139" s="3" t="n">
        <f aca="false">F138+E139</f>
        <v>8354.79452054794</v>
      </c>
      <c r="G139" s="4"/>
    </row>
    <row r="140" customFormat="false" ht="15" hidden="false" customHeight="false" outlineLevel="0" collapsed="false">
      <c r="A140" s="2" t="n">
        <v>45551</v>
      </c>
      <c r="B140" s="3" t="n">
        <f aca="false">B139+E139</f>
        <v>158354.794520549</v>
      </c>
      <c r="C140" s="4"/>
      <c r="D140" s="3" t="n">
        <f aca="false">D139-C140</f>
        <v>130000</v>
      </c>
      <c r="E140" s="4" t="n">
        <f aca="false">D140*15%/365</f>
        <v>53.4246575342466</v>
      </c>
      <c r="F140" s="3" t="n">
        <f aca="false">F139+E140</f>
        <v>8408.21917808219</v>
      </c>
      <c r="G140" s="4"/>
    </row>
    <row r="141" customFormat="false" ht="15" hidden="false" customHeight="false" outlineLevel="0" collapsed="false">
      <c r="A141" s="2" t="n">
        <v>45552</v>
      </c>
      <c r="B141" s="3" t="n">
        <f aca="false">B140+E140</f>
        <v>158408.219178083</v>
      </c>
      <c r="C141" s="4"/>
      <c r="D141" s="3" t="n">
        <f aca="false">D140-C141</f>
        <v>130000</v>
      </c>
      <c r="E141" s="4" t="n">
        <f aca="false">D141*15%/365</f>
        <v>53.4246575342466</v>
      </c>
      <c r="F141" s="3" t="n">
        <f aca="false">F140+E141</f>
        <v>8461.64383561643</v>
      </c>
      <c r="G141" s="4"/>
    </row>
    <row r="142" customFormat="false" ht="15" hidden="false" customHeight="false" outlineLevel="0" collapsed="false">
      <c r="A142" s="2" t="n">
        <v>45553</v>
      </c>
      <c r="B142" s="3" t="n">
        <f aca="false">B141+E141</f>
        <v>158461.643835617</v>
      </c>
      <c r="C142" s="4"/>
      <c r="D142" s="3" t="n">
        <f aca="false">D141-C142</f>
        <v>130000</v>
      </c>
      <c r="E142" s="4" t="n">
        <f aca="false">D142*15%/365</f>
        <v>53.4246575342466</v>
      </c>
      <c r="F142" s="3" t="n">
        <f aca="false">F141+E142</f>
        <v>8515.06849315068</v>
      </c>
      <c r="G142" s="4"/>
    </row>
    <row r="143" customFormat="false" ht="15" hidden="false" customHeight="false" outlineLevel="0" collapsed="false">
      <c r="A143" s="2" t="n">
        <v>45554</v>
      </c>
      <c r="B143" s="3" t="n">
        <f aca="false">B142+E142</f>
        <v>158515.068493151</v>
      </c>
      <c r="C143" s="4"/>
      <c r="D143" s="3" t="n">
        <f aca="false">D142-C143</f>
        <v>130000</v>
      </c>
      <c r="E143" s="4" t="n">
        <f aca="false">D143*15%/365</f>
        <v>53.4246575342466</v>
      </c>
      <c r="F143" s="3" t="n">
        <f aca="false">F142+E143</f>
        <v>8568.49315068492</v>
      </c>
      <c r="G143" s="4"/>
    </row>
    <row r="144" customFormat="false" ht="15" hidden="false" customHeight="false" outlineLevel="0" collapsed="false">
      <c r="A144" s="2" t="n">
        <v>45555</v>
      </c>
      <c r="B144" s="3" t="n">
        <f aca="false">B143+E143</f>
        <v>158568.493150686</v>
      </c>
      <c r="C144" s="4"/>
      <c r="D144" s="3" t="n">
        <f aca="false">D143-C144</f>
        <v>130000</v>
      </c>
      <c r="E144" s="4" t="n">
        <f aca="false">D144*15%/365</f>
        <v>53.4246575342466</v>
      </c>
      <c r="F144" s="3" t="n">
        <f aca="false">F143+E144</f>
        <v>8621.91780821917</v>
      </c>
      <c r="G144" s="4"/>
    </row>
    <row r="145" customFormat="false" ht="15" hidden="false" customHeight="false" outlineLevel="0" collapsed="false">
      <c r="A145" s="2" t="n">
        <v>45556</v>
      </c>
      <c r="B145" s="3" t="n">
        <f aca="false">B144+E144</f>
        <v>158621.91780822</v>
      </c>
      <c r="C145" s="4"/>
      <c r="D145" s="3" t="n">
        <f aca="false">D144-C145</f>
        <v>130000</v>
      </c>
      <c r="E145" s="4" t="n">
        <f aca="false">D145*15%/365</f>
        <v>53.4246575342466</v>
      </c>
      <c r="F145" s="3" t="n">
        <f aca="false">F144+E145</f>
        <v>8675.34246575342</v>
      </c>
      <c r="G145" s="4"/>
    </row>
    <row r="146" customFormat="false" ht="15" hidden="false" customHeight="false" outlineLevel="0" collapsed="false">
      <c r="A146" s="2" t="n">
        <v>45557</v>
      </c>
      <c r="B146" s="3" t="n">
        <f aca="false">B145+E145</f>
        <v>158675.342465754</v>
      </c>
      <c r="C146" s="4"/>
      <c r="D146" s="3" t="n">
        <f aca="false">D145-C146</f>
        <v>130000</v>
      </c>
      <c r="E146" s="4" t="n">
        <f aca="false">D146*15%/365</f>
        <v>53.4246575342466</v>
      </c>
      <c r="F146" s="3" t="n">
        <f aca="false">F145+E146</f>
        <v>8728.76712328766</v>
      </c>
      <c r="G146" s="4"/>
    </row>
    <row r="147" customFormat="false" ht="15" hidden="false" customHeight="false" outlineLevel="0" collapsed="false">
      <c r="A147" s="2" t="n">
        <v>45558</v>
      </c>
      <c r="B147" s="3" t="n">
        <f aca="false">B146+E146</f>
        <v>158728.767123289</v>
      </c>
      <c r="C147" s="4"/>
      <c r="D147" s="3" t="n">
        <f aca="false">D146-C147</f>
        <v>130000</v>
      </c>
      <c r="E147" s="4" t="n">
        <f aca="false">D147*15%/365</f>
        <v>53.4246575342466</v>
      </c>
      <c r="F147" s="3" t="n">
        <f aca="false">F146+E147</f>
        <v>8782.19178082191</v>
      </c>
      <c r="G147" s="4"/>
    </row>
    <row r="148" customFormat="false" ht="15" hidden="false" customHeight="false" outlineLevel="0" collapsed="false">
      <c r="A148" s="2" t="n">
        <v>45559</v>
      </c>
      <c r="B148" s="3" t="n">
        <f aca="false">B147+E147</f>
        <v>158782.191780823</v>
      </c>
      <c r="C148" s="4"/>
      <c r="D148" s="3" t="n">
        <f aca="false">D147-C148</f>
        <v>130000</v>
      </c>
      <c r="E148" s="4" t="n">
        <f aca="false">D148*15%/365</f>
        <v>53.4246575342466</v>
      </c>
      <c r="F148" s="3" t="n">
        <f aca="false">F147+E148</f>
        <v>8835.61643835615</v>
      </c>
      <c r="G148" s="4"/>
    </row>
    <row r="149" customFormat="false" ht="15" hidden="false" customHeight="false" outlineLevel="0" collapsed="false">
      <c r="A149" s="2" t="n">
        <v>45560</v>
      </c>
      <c r="B149" s="3" t="n">
        <f aca="false">B148+E148</f>
        <v>158835.616438357</v>
      </c>
      <c r="C149" s="4"/>
      <c r="D149" s="3" t="n">
        <f aca="false">D148-C149</f>
        <v>130000</v>
      </c>
      <c r="E149" s="4" t="n">
        <f aca="false">D149*15%/365</f>
        <v>53.4246575342466</v>
      </c>
      <c r="F149" s="3" t="n">
        <f aca="false">F148+E149</f>
        <v>8889.0410958904</v>
      </c>
      <c r="G149" s="4"/>
    </row>
    <row r="150" customFormat="false" ht="15" hidden="false" customHeight="false" outlineLevel="0" collapsed="false">
      <c r="A150" s="2" t="n">
        <v>45561</v>
      </c>
      <c r="B150" s="3" t="n">
        <f aca="false">B149+E149</f>
        <v>158889.041095891</v>
      </c>
      <c r="C150" s="4"/>
      <c r="D150" s="3" t="n">
        <f aca="false">D149-C150</f>
        <v>130000</v>
      </c>
      <c r="E150" s="4" t="n">
        <f aca="false">D150*15%/365</f>
        <v>53.4246575342466</v>
      </c>
      <c r="F150" s="3" t="n">
        <f aca="false">F149+E150</f>
        <v>8942.46575342465</v>
      </c>
      <c r="G150" s="4"/>
    </row>
    <row r="151" customFormat="false" ht="15" hidden="false" customHeight="false" outlineLevel="0" collapsed="false">
      <c r="A151" s="2" t="n">
        <v>45562</v>
      </c>
      <c r="B151" s="3" t="n">
        <f aca="false">B150+E150</f>
        <v>158942.465753426</v>
      </c>
      <c r="C151" s="4"/>
      <c r="D151" s="3" t="n">
        <f aca="false">D150-C151</f>
        <v>130000</v>
      </c>
      <c r="E151" s="4" t="n">
        <f aca="false">D151*15%/365</f>
        <v>53.4246575342466</v>
      </c>
      <c r="F151" s="3" t="n">
        <f aca="false">F150+E151</f>
        <v>8995.89041095889</v>
      </c>
      <c r="G151" s="4"/>
    </row>
    <row r="152" customFormat="false" ht="15" hidden="false" customHeight="false" outlineLevel="0" collapsed="false">
      <c r="A152" s="2" t="n">
        <v>45563</v>
      </c>
      <c r="B152" s="3" t="n">
        <f aca="false">B151+E151</f>
        <v>158995.89041096</v>
      </c>
      <c r="C152" s="4"/>
      <c r="D152" s="3" t="n">
        <f aca="false">D151-C152</f>
        <v>130000</v>
      </c>
      <c r="E152" s="4" t="n">
        <f aca="false">D152*15%/365</f>
        <v>53.4246575342466</v>
      </c>
      <c r="F152" s="3" t="n">
        <f aca="false">F151+E152</f>
        <v>9049.31506849314</v>
      </c>
      <c r="G152" s="4"/>
    </row>
    <row r="153" customFormat="false" ht="15" hidden="false" customHeight="false" outlineLevel="0" collapsed="false">
      <c r="A153" s="2" t="n">
        <v>45564</v>
      </c>
      <c r="B153" s="3" t="n">
        <f aca="false">B152+E152</f>
        <v>159049.315068494</v>
      </c>
      <c r="C153" s="4"/>
      <c r="D153" s="3" t="n">
        <f aca="false">D152-C153</f>
        <v>130000</v>
      </c>
      <c r="E153" s="4" t="n">
        <f aca="false">D153*15%/365</f>
        <v>53.4246575342466</v>
      </c>
      <c r="F153" s="3" t="n">
        <f aca="false">F152+E153</f>
        <v>9102.73972602738</v>
      </c>
      <c r="G153" s="4"/>
    </row>
    <row r="154" customFormat="false" ht="15" hidden="false" customHeight="false" outlineLevel="0" collapsed="false">
      <c r="A154" s="2" t="n">
        <v>45565</v>
      </c>
      <c r="B154" s="3" t="n">
        <f aca="false">B153+E153</f>
        <v>159102.739726028</v>
      </c>
      <c r="C154" s="4"/>
      <c r="D154" s="3" t="n">
        <f aca="false">D153-C154</f>
        <v>130000</v>
      </c>
      <c r="E154" s="4" t="n">
        <f aca="false">D154*15%/365</f>
        <v>53.4246575342466</v>
      </c>
      <c r="F154" s="3" t="n">
        <f aca="false">F153+E154</f>
        <v>9156.16438356163</v>
      </c>
      <c r="G154" s="4"/>
    </row>
    <row r="155" customFormat="false" ht="15" hidden="false" customHeight="false" outlineLevel="0" collapsed="false">
      <c r="A155" s="2" t="n">
        <v>45566</v>
      </c>
      <c r="B155" s="3" t="n">
        <f aca="false">B154+E154</f>
        <v>159156.164383563</v>
      </c>
      <c r="C155" s="4" t="n">
        <v>5000</v>
      </c>
      <c r="D155" s="3" t="n">
        <f aca="false">D154-C155</f>
        <v>125000</v>
      </c>
      <c r="E155" s="4" t="n">
        <f aca="false">D155*15%/365</f>
        <v>51.3698630136986</v>
      </c>
      <c r="F155" s="3" t="n">
        <f aca="false">F154+E155</f>
        <v>9207.53424657533</v>
      </c>
      <c r="G155" s="4"/>
    </row>
    <row r="156" customFormat="false" ht="15" hidden="false" customHeight="false" outlineLevel="0" collapsed="false">
      <c r="A156" s="2" t="n">
        <v>45567</v>
      </c>
      <c r="B156" s="3" t="n">
        <f aca="false">B155+E155</f>
        <v>159207.534246576</v>
      </c>
      <c r="C156" s="4"/>
      <c r="D156" s="3" t="n">
        <f aca="false">D155-C156</f>
        <v>125000</v>
      </c>
      <c r="E156" s="4" t="n">
        <f aca="false">D156*15%/365</f>
        <v>51.3698630136986</v>
      </c>
      <c r="F156" s="3" t="n">
        <f aca="false">F155+E156</f>
        <v>9258.90410958903</v>
      </c>
      <c r="G156" s="4"/>
    </row>
    <row r="157" customFormat="false" ht="15" hidden="false" customHeight="false" outlineLevel="0" collapsed="false">
      <c r="A157" s="2" t="n">
        <v>45568</v>
      </c>
      <c r="B157" s="3" t="n">
        <f aca="false">B156+E156</f>
        <v>159258.90410959</v>
      </c>
      <c r="C157" s="4"/>
      <c r="D157" s="3" t="n">
        <f aca="false">D156-C157</f>
        <v>125000</v>
      </c>
      <c r="E157" s="4" t="n">
        <f aca="false">D157*15%/365</f>
        <v>51.3698630136986</v>
      </c>
      <c r="F157" s="3" t="n">
        <f aca="false">F156+E157</f>
        <v>9310.27397260273</v>
      </c>
      <c r="G157" s="4"/>
    </row>
    <row r="158" customFormat="false" ht="15" hidden="false" customHeight="false" outlineLevel="0" collapsed="false">
      <c r="A158" s="2" t="n">
        <v>45569</v>
      </c>
      <c r="B158" s="3" t="n">
        <f aca="false">B157+E157</f>
        <v>159310.273972604</v>
      </c>
      <c r="C158" s="4"/>
      <c r="D158" s="3" t="n">
        <f aca="false">D157-C158</f>
        <v>125000</v>
      </c>
      <c r="E158" s="4" t="n">
        <f aca="false">D158*15%/365</f>
        <v>51.3698630136986</v>
      </c>
      <c r="F158" s="3" t="n">
        <f aca="false">F157+E158</f>
        <v>9361.64383561642</v>
      </c>
      <c r="G158" s="4"/>
    </row>
    <row r="159" customFormat="false" ht="15" hidden="false" customHeight="false" outlineLevel="0" collapsed="false">
      <c r="A159" s="2" t="n">
        <v>45570</v>
      </c>
      <c r="B159" s="3" t="n">
        <f aca="false">B158+E158</f>
        <v>159361.643835617</v>
      </c>
      <c r="C159" s="4"/>
      <c r="D159" s="3" t="n">
        <f aca="false">D158-C159</f>
        <v>125000</v>
      </c>
      <c r="E159" s="4" t="n">
        <f aca="false">D159*15%/365</f>
        <v>51.3698630136986</v>
      </c>
      <c r="F159" s="3" t="n">
        <f aca="false">F158+E159</f>
        <v>9413.01369863012</v>
      </c>
      <c r="G159" s="4"/>
    </row>
    <row r="160" customFormat="false" ht="15" hidden="false" customHeight="false" outlineLevel="0" collapsed="false">
      <c r="A160" s="2" t="n">
        <v>45571</v>
      </c>
      <c r="B160" s="3" t="n">
        <f aca="false">B159+E159</f>
        <v>159413.013698631</v>
      </c>
      <c r="C160" s="4"/>
      <c r="D160" s="3" t="n">
        <f aca="false">D159-C160</f>
        <v>125000</v>
      </c>
      <c r="E160" s="4" t="n">
        <f aca="false">D160*15%/365</f>
        <v>51.3698630136986</v>
      </c>
      <c r="F160" s="3" t="n">
        <f aca="false">F159+E160</f>
        <v>9464.38356164382</v>
      </c>
      <c r="G160" s="4"/>
    </row>
    <row r="161" customFormat="false" ht="15" hidden="false" customHeight="false" outlineLevel="0" collapsed="false">
      <c r="A161" s="2" t="n">
        <v>45572</v>
      </c>
      <c r="B161" s="3" t="n">
        <f aca="false">B160+E160</f>
        <v>159464.383561645</v>
      </c>
      <c r="C161" s="4"/>
      <c r="D161" s="3" t="n">
        <f aca="false">D160-C161</f>
        <v>125000</v>
      </c>
      <c r="E161" s="4" t="n">
        <f aca="false">D161*15%/365</f>
        <v>51.3698630136986</v>
      </c>
      <c r="F161" s="3" t="n">
        <f aca="false">F160+E161</f>
        <v>9515.75342465752</v>
      </c>
      <c r="G161" s="4"/>
    </row>
    <row r="162" customFormat="false" ht="15" hidden="false" customHeight="false" outlineLevel="0" collapsed="false">
      <c r="A162" s="2" t="n">
        <v>45573</v>
      </c>
      <c r="B162" s="3" t="n">
        <f aca="false">B161+E161</f>
        <v>159515.753424659</v>
      </c>
      <c r="C162" s="4"/>
      <c r="D162" s="3" t="n">
        <f aca="false">D161-C162</f>
        <v>125000</v>
      </c>
      <c r="E162" s="4" t="n">
        <f aca="false">D162*15%/365</f>
        <v>51.3698630136986</v>
      </c>
      <c r="F162" s="3" t="n">
        <f aca="false">F161+E162</f>
        <v>9567.12328767122</v>
      </c>
      <c r="G162" s="4"/>
    </row>
    <row r="163" customFormat="false" ht="15" hidden="false" customHeight="false" outlineLevel="0" collapsed="false">
      <c r="A163" s="2" t="n">
        <v>45574</v>
      </c>
      <c r="B163" s="3" t="n">
        <f aca="false">B162+E162</f>
        <v>159567.123287672</v>
      </c>
      <c r="C163" s="4"/>
      <c r="D163" s="3" t="n">
        <f aca="false">D162-C163</f>
        <v>125000</v>
      </c>
      <c r="E163" s="4" t="n">
        <f aca="false">D163*15%/365</f>
        <v>51.3698630136986</v>
      </c>
      <c r="F163" s="3" t="n">
        <f aca="false">F162+E163</f>
        <v>9618.49315068492</v>
      </c>
      <c r="G163" s="4"/>
    </row>
    <row r="164" customFormat="false" ht="15" hidden="false" customHeight="false" outlineLevel="0" collapsed="false">
      <c r="A164" s="2" t="n">
        <v>45575</v>
      </c>
      <c r="B164" s="3" t="n">
        <f aca="false">B163+E163</f>
        <v>159618.493150686</v>
      </c>
      <c r="C164" s="4"/>
      <c r="D164" s="3" t="n">
        <f aca="false">D163-C164</f>
        <v>125000</v>
      </c>
      <c r="E164" s="4" t="n">
        <f aca="false">D164*15%/365</f>
        <v>51.3698630136986</v>
      </c>
      <c r="F164" s="3" t="n">
        <f aca="false">F163+E164</f>
        <v>9669.86301369862</v>
      </c>
      <c r="G164" s="4"/>
    </row>
    <row r="165" customFormat="false" ht="15" hidden="false" customHeight="false" outlineLevel="0" collapsed="false">
      <c r="A165" s="2" t="n">
        <v>45576</v>
      </c>
      <c r="B165" s="3" t="n">
        <f aca="false">B164+E164</f>
        <v>159669.8630137</v>
      </c>
      <c r="C165" s="4"/>
      <c r="D165" s="3" t="n">
        <f aca="false">D164-C165</f>
        <v>125000</v>
      </c>
      <c r="E165" s="4" t="n">
        <f aca="false">D165*15%/365</f>
        <v>51.3698630136986</v>
      </c>
      <c r="F165" s="3" t="n">
        <f aca="false">F164+E165</f>
        <v>9721.23287671231</v>
      </c>
      <c r="G165" s="4"/>
    </row>
    <row r="166" customFormat="false" ht="15" hidden="false" customHeight="false" outlineLevel="0" collapsed="false">
      <c r="A166" s="2" t="n">
        <v>45577</v>
      </c>
      <c r="B166" s="3" t="n">
        <f aca="false">B165+E165</f>
        <v>159721.232876713</v>
      </c>
      <c r="C166" s="4"/>
      <c r="D166" s="3" t="n">
        <f aca="false">D165-C166</f>
        <v>125000</v>
      </c>
      <c r="E166" s="4" t="n">
        <f aca="false">D166*15%/365</f>
        <v>51.3698630136986</v>
      </c>
      <c r="F166" s="3" t="n">
        <f aca="false">F165+E166</f>
        <v>9772.60273972601</v>
      </c>
      <c r="G166" s="4"/>
    </row>
    <row r="167" customFormat="false" ht="15" hidden="false" customHeight="false" outlineLevel="0" collapsed="false">
      <c r="A167" s="2" t="n">
        <v>45578</v>
      </c>
      <c r="B167" s="3" t="n">
        <f aca="false">B166+E166</f>
        <v>159772.602739727</v>
      </c>
      <c r="C167" s="4"/>
      <c r="D167" s="3" t="n">
        <f aca="false">D166-C167</f>
        <v>125000</v>
      </c>
      <c r="E167" s="4" t="n">
        <f aca="false">D167*15%/365</f>
        <v>51.3698630136986</v>
      </c>
      <c r="F167" s="3" t="n">
        <f aca="false">F166+E167</f>
        <v>9823.97260273971</v>
      </c>
      <c r="G167" s="4"/>
    </row>
    <row r="168" customFormat="false" ht="15" hidden="false" customHeight="false" outlineLevel="0" collapsed="false">
      <c r="A168" s="2" t="n">
        <v>45579</v>
      </c>
      <c r="B168" s="3" t="n">
        <f aca="false">B167+E167</f>
        <v>159823.972602741</v>
      </c>
      <c r="C168" s="4" t="n">
        <v>5000</v>
      </c>
      <c r="D168" s="3" t="n">
        <f aca="false">D167-C168</f>
        <v>120000</v>
      </c>
      <c r="E168" s="4" t="n">
        <f aca="false">D168*15%/365</f>
        <v>49.3150684931507</v>
      </c>
      <c r="F168" s="3" t="n">
        <f aca="false">F167+E168</f>
        <v>9873.28767123286</v>
      </c>
      <c r="G168" s="4"/>
    </row>
    <row r="169" customFormat="false" ht="15" hidden="false" customHeight="false" outlineLevel="0" collapsed="false">
      <c r="A169" s="2" t="n">
        <v>45580</v>
      </c>
      <c r="B169" s="3" t="n">
        <f aca="false">B168+E168</f>
        <v>159873.287671234</v>
      </c>
      <c r="C169" s="4"/>
      <c r="D169" s="3" t="n">
        <f aca="false">D168-C169</f>
        <v>120000</v>
      </c>
      <c r="E169" s="4" t="n">
        <f aca="false">D169*15%/365</f>
        <v>49.3150684931507</v>
      </c>
      <c r="F169" s="3" t="n">
        <f aca="false">F168+E169</f>
        <v>9922.60273972602</v>
      </c>
      <c r="G169" s="4"/>
    </row>
    <row r="170" customFormat="false" ht="15" hidden="false" customHeight="false" outlineLevel="0" collapsed="false">
      <c r="A170" s="2" t="n">
        <v>45581</v>
      </c>
      <c r="B170" s="3" t="n">
        <f aca="false">B169+E169</f>
        <v>159922.602739727</v>
      </c>
      <c r="C170" s="4"/>
      <c r="D170" s="3" t="n">
        <f aca="false">D169-C170</f>
        <v>120000</v>
      </c>
      <c r="E170" s="4" t="n">
        <f aca="false">D170*15%/365</f>
        <v>49.3150684931507</v>
      </c>
      <c r="F170" s="3" t="n">
        <f aca="false">F169+E170</f>
        <v>9971.91780821917</v>
      </c>
      <c r="G170" s="4"/>
    </row>
    <row r="171" customFormat="false" ht="15" hidden="false" customHeight="false" outlineLevel="0" collapsed="false">
      <c r="A171" s="2" t="n">
        <v>45582</v>
      </c>
      <c r="B171" s="3" t="n">
        <f aca="false">B170+E170</f>
        <v>159971.91780822</v>
      </c>
      <c r="C171" s="4"/>
      <c r="D171" s="3" t="n">
        <f aca="false">D170-C171</f>
        <v>120000</v>
      </c>
      <c r="E171" s="4" t="n">
        <f aca="false">D171*15%/365</f>
        <v>49.3150684931507</v>
      </c>
      <c r="F171" s="3" t="n">
        <f aca="false">F170+E171</f>
        <v>10021.2328767123</v>
      </c>
      <c r="G171" s="4"/>
    </row>
    <row r="172" customFormat="false" ht="15" hidden="false" customHeight="false" outlineLevel="0" collapsed="false">
      <c r="A172" s="2" t="n">
        <v>45583</v>
      </c>
      <c r="B172" s="3" t="n">
        <f aca="false">B171+E171</f>
        <v>160021.232876713</v>
      </c>
      <c r="C172" s="4"/>
      <c r="D172" s="3" t="n">
        <f aca="false">D171-C172</f>
        <v>120000</v>
      </c>
      <c r="E172" s="4" t="n">
        <f aca="false">D172*15%/365</f>
        <v>49.3150684931507</v>
      </c>
      <c r="F172" s="3" t="n">
        <f aca="false">F171+E172</f>
        <v>10070.5479452055</v>
      </c>
      <c r="G172" s="4"/>
    </row>
    <row r="173" customFormat="false" ht="15" hidden="false" customHeight="false" outlineLevel="0" collapsed="false">
      <c r="A173" s="2" t="n">
        <v>45584</v>
      </c>
      <c r="B173" s="3" t="n">
        <f aca="false">B172+E172</f>
        <v>160070.547945207</v>
      </c>
      <c r="C173" s="4"/>
      <c r="D173" s="3" t="n">
        <f aca="false">D172-C173</f>
        <v>120000</v>
      </c>
      <c r="E173" s="4" t="n">
        <f aca="false">D173*15%/365</f>
        <v>49.3150684931507</v>
      </c>
      <c r="F173" s="3" t="n">
        <f aca="false">F172+E173</f>
        <v>10119.8630136986</v>
      </c>
      <c r="G173" s="4"/>
    </row>
    <row r="174" customFormat="false" ht="15" hidden="false" customHeight="false" outlineLevel="0" collapsed="false">
      <c r="A174" s="2" t="n">
        <v>45585</v>
      </c>
      <c r="B174" s="3" t="n">
        <f aca="false">B173+E173</f>
        <v>160119.8630137</v>
      </c>
      <c r="C174" s="4"/>
      <c r="D174" s="3" t="n">
        <f aca="false">D173-C174</f>
        <v>120000</v>
      </c>
      <c r="E174" s="4" t="n">
        <f aca="false">D174*15%/365</f>
        <v>49.3150684931507</v>
      </c>
      <c r="F174" s="3" t="n">
        <f aca="false">F173+E174</f>
        <v>10169.1780821918</v>
      </c>
      <c r="G174" s="4"/>
    </row>
    <row r="175" customFormat="false" ht="15" hidden="false" customHeight="false" outlineLevel="0" collapsed="false">
      <c r="A175" s="2" t="n">
        <v>45586</v>
      </c>
      <c r="B175" s="3" t="n">
        <f aca="false">B174+E174</f>
        <v>160169.178082193</v>
      </c>
      <c r="C175" s="4"/>
      <c r="D175" s="3" t="n">
        <f aca="false">D174-C175</f>
        <v>120000</v>
      </c>
      <c r="E175" s="4" t="n">
        <f aca="false">D175*15%/365</f>
        <v>49.3150684931507</v>
      </c>
      <c r="F175" s="3" t="n">
        <f aca="false">F174+E175</f>
        <v>10218.4931506849</v>
      </c>
      <c r="G175" s="4"/>
    </row>
    <row r="176" customFormat="false" ht="15" hidden="false" customHeight="false" outlineLevel="0" collapsed="false">
      <c r="A176" s="2" t="n">
        <v>45587</v>
      </c>
      <c r="B176" s="3" t="n">
        <f aca="false">B175+E175</f>
        <v>160218.493150686</v>
      </c>
      <c r="C176" s="4"/>
      <c r="D176" s="3" t="n">
        <f aca="false">D175-C176</f>
        <v>120000</v>
      </c>
      <c r="E176" s="4" t="n">
        <f aca="false">D176*15%/365</f>
        <v>49.3150684931507</v>
      </c>
      <c r="F176" s="3" t="n">
        <f aca="false">F175+E176</f>
        <v>10267.8082191781</v>
      </c>
      <c r="G176" s="4"/>
    </row>
    <row r="177" customFormat="false" ht="15" hidden="false" customHeight="false" outlineLevel="0" collapsed="false">
      <c r="A177" s="2" t="n">
        <v>45588</v>
      </c>
      <c r="B177" s="3" t="n">
        <f aca="false">B176+E176</f>
        <v>160267.808219179</v>
      </c>
      <c r="C177" s="4"/>
      <c r="D177" s="3" t="n">
        <f aca="false">D176-C177</f>
        <v>120000</v>
      </c>
      <c r="E177" s="4" t="n">
        <f aca="false">D177*15%/365</f>
        <v>49.3150684931507</v>
      </c>
      <c r="F177" s="3" t="n">
        <f aca="false">F176+E177</f>
        <v>10317.1232876712</v>
      </c>
      <c r="G177" s="4"/>
    </row>
    <row r="178" customFormat="false" ht="15" hidden="false" customHeight="false" outlineLevel="0" collapsed="false">
      <c r="A178" s="2" t="n">
        <v>45589</v>
      </c>
      <c r="B178" s="3" t="n">
        <f aca="false">B177+E177</f>
        <v>160317.123287672</v>
      </c>
      <c r="C178" s="4"/>
      <c r="D178" s="3" t="n">
        <f aca="false">D177-C178</f>
        <v>120000</v>
      </c>
      <c r="E178" s="4" t="n">
        <f aca="false">D178*15%/365</f>
        <v>49.3150684931507</v>
      </c>
      <c r="F178" s="3" t="n">
        <f aca="false">F177+E178</f>
        <v>10366.4383561644</v>
      </c>
      <c r="G178" s="4"/>
    </row>
    <row r="179" customFormat="false" ht="15" hidden="false" customHeight="false" outlineLevel="0" collapsed="false">
      <c r="A179" s="2" t="n">
        <v>45590</v>
      </c>
      <c r="B179" s="3" t="n">
        <f aca="false">B178+E178</f>
        <v>160366.438356166</v>
      </c>
      <c r="C179" s="4"/>
      <c r="D179" s="3" t="n">
        <f aca="false">D178-C179</f>
        <v>120000</v>
      </c>
      <c r="E179" s="4" t="n">
        <f aca="false">D179*15%/365</f>
        <v>49.3150684931507</v>
      </c>
      <c r="F179" s="3" t="n">
        <f aca="false">F178+E179</f>
        <v>10415.7534246575</v>
      </c>
      <c r="G179" s="4"/>
    </row>
    <row r="180" customFormat="false" ht="15" hidden="false" customHeight="false" outlineLevel="0" collapsed="false">
      <c r="A180" s="2" t="n">
        <v>45591</v>
      </c>
      <c r="B180" s="3" t="n">
        <f aca="false">B179+E179</f>
        <v>160415.753424659</v>
      </c>
      <c r="C180" s="4"/>
      <c r="D180" s="3" t="n">
        <f aca="false">D179-C180</f>
        <v>120000</v>
      </c>
      <c r="E180" s="4" t="n">
        <f aca="false">D180*15%/365</f>
        <v>49.3150684931507</v>
      </c>
      <c r="F180" s="3" t="n">
        <f aca="false">F179+E180</f>
        <v>10465.0684931507</v>
      </c>
      <c r="G180" s="4"/>
    </row>
    <row r="181" customFormat="false" ht="15" hidden="false" customHeight="false" outlineLevel="0" collapsed="false">
      <c r="A181" s="2" t="n">
        <v>45592</v>
      </c>
      <c r="B181" s="3" t="n">
        <f aca="false">B180+E180</f>
        <v>160465.068493152</v>
      </c>
      <c r="C181" s="4"/>
      <c r="D181" s="3" t="n">
        <f aca="false">D180-C181</f>
        <v>120000</v>
      </c>
      <c r="E181" s="4" t="n">
        <f aca="false">D181*15%/365</f>
        <v>49.3150684931507</v>
      </c>
      <c r="F181" s="3" t="n">
        <f aca="false">F180+E181</f>
        <v>10514.3835616438</v>
      </c>
      <c r="G181" s="4"/>
    </row>
    <row r="182" customFormat="false" ht="15" hidden="false" customHeight="false" outlineLevel="0" collapsed="false">
      <c r="A182" s="2" t="n">
        <v>45593</v>
      </c>
      <c r="B182" s="3" t="n">
        <f aca="false">B181+E181</f>
        <v>160514.383561645</v>
      </c>
      <c r="C182" s="4"/>
      <c r="D182" s="3" t="n">
        <f aca="false">D181-C182</f>
        <v>120000</v>
      </c>
      <c r="E182" s="4" t="n">
        <f aca="false">D182*15%/365</f>
        <v>49.3150684931507</v>
      </c>
      <c r="F182" s="3" t="n">
        <f aca="false">F181+E182</f>
        <v>10563.698630137</v>
      </c>
      <c r="G182" s="4"/>
    </row>
    <row r="183" customFormat="false" ht="15" hidden="false" customHeight="false" outlineLevel="0" collapsed="false">
      <c r="A183" s="2" t="n">
        <v>45594</v>
      </c>
      <c r="B183" s="3" t="n">
        <f aca="false">B182+E182</f>
        <v>160563.698630138</v>
      </c>
      <c r="C183" s="4"/>
      <c r="D183" s="3" t="n">
        <f aca="false">D182-C183</f>
        <v>120000</v>
      </c>
      <c r="E183" s="4" t="n">
        <f aca="false">D183*15%/365</f>
        <v>49.3150684931507</v>
      </c>
      <c r="F183" s="3" t="n">
        <f aca="false">F182+E183</f>
        <v>10613.0136986301</v>
      </c>
      <c r="G183" s="4"/>
    </row>
    <row r="184" customFormat="false" ht="15" hidden="false" customHeight="false" outlineLevel="0" collapsed="false">
      <c r="A184" s="2" t="n">
        <v>45595</v>
      </c>
      <c r="B184" s="3" t="n">
        <f aca="false">B183+E183</f>
        <v>160613.013698631</v>
      </c>
      <c r="C184" s="4"/>
      <c r="D184" s="3" t="n">
        <f aca="false">D183-C184</f>
        <v>120000</v>
      </c>
      <c r="E184" s="4" t="n">
        <f aca="false">D184*15%/365</f>
        <v>49.3150684931507</v>
      </c>
      <c r="F184" s="3" t="n">
        <f aca="false">F183+E184</f>
        <v>10662.3287671233</v>
      </c>
      <c r="G184" s="4"/>
    </row>
    <row r="185" customFormat="false" ht="15" hidden="false" customHeight="false" outlineLevel="0" collapsed="false">
      <c r="A185" s="2" t="n">
        <v>45596</v>
      </c>
      <c r="B185" s="3" t="n">
        <f aca="false">B184+E184</f>
        <v>160662.328767124</v>
      </c>
      <c r="C185" s="4"/>
      <c r="D185" s="3" t="n">
        <f aca="false">D184-C185</f>
        <v>120000</v>
      </c>
      <c r="E185" s="4" t="n">
        <f aca="false">D185*15%/365</f>
        <v>49.3150684931507</v>
      </c>
      <c r="F185" s="3" t="n">
        <f aca="false">F184+E185</f>
        <v>10711.6438356164</v>
      </c>
      <c r="G185" s="4"/>
    </row>
    <row r="186" customFormat="false" ht="15" hidden="false" customHeight="false" outlineLevel="0" collapsed="false">
      <c r="A186" s="2" t="n">
        <v>45597</v>
      </c>
      <c r="B186" s="3" t="n">
        <f aca="false">B185+E185</f>
        <v>160711.643835618</v>
      </c>
      <c r="C186" s="4"/>
      <c r="D186" s="3" t="n">
        <f aca="false">D185-C186</f>
        <v>120000</v>
      </c>
      <c r="E186" s="4" t="n">
        <f aca="false">D186*15%/365</f>
        <v>49.3150684931507</v>
      </c>
      <c r="F186" s="3" t="n">
        <f aca="false">F185+E186</f>
        <v>10760.9589041096</v>
      </c>
      <c r="G186" s="4"/>
    </row>
    <row r="187" customFormat="false" ht="15" hidden="false" customHeight="false" outlineLevel="0" collapsed="false">
      <c r="A187" s="2" t="n">
        <v>45598</v>
      </c>
      <c r="B187" s="3" t="n">
        <f aca="false">B186+E186</f>
        <v>160760.958904111</v>
      </c>
      <c r="C187" s="4"/>
      <c r="D187" s="3" t="n">
        <f aca="false">D186-C187</f>
        <v>120000</v>
      </c>
      <c r="E187" s="4" t="n">
        <f aca="false">D187*15%/365</f>
        <v>49.3150684931507</v>
      </c>
      <c r="F187" s="3" t="n">
        <f aca="false">F186+E187</f>
        <v>10810.2739726027</v>
      </c>
      <c r="G187" s="4"/>
    </row>
    <row r="188" customFormat="false" ht="15" hidden="false" customHeight="false" outlineLevel="0" collapsed="false">
      <c r="A188" s="2" t="n">
        <v>45599</v>
      </c>
      <c r="B188" s="3" t="n">
        <f aca="false">B187+E187</f>
        <v>160810.273972604</v>
      </c>
      <c r="C188" s="4"/>
      <c r="D188" s="3" t="n">
        <f aca="false">D187-C188</f>
        <v>120000</v>
      </c>
      <c r="E188" s="4" t="n">
        <f aca="false">D188*15%/365</f>
        <v>49.3150684931507</v>
      </c>
      <c r="F188" s="3" t="n">
        <f aca="false">F187+E188</f>
        <v>10859.5890410959</v>
      </c>
      <c r="G188" s="4"/>
    </row>
    <row r="189" customFormat="false" ht="15" hidden="false" customHeight="false" outlineLevel="0" collapsed="false">
      <c r="A189" s="2" t="n">
        <v>45600</v>
      </c>
      <c r="B189" s="3" t="n">
        <f aca="false">B188+E188</f>
        <v>160859.589041097</v>
      </c>
      <c r="C189" s="4"/>
      <c r="D189" s="3" t="n">
        <f aca="false">D188-C189</f>
        <v>120000</v>
      </c>
      <c r="E189" s="4" t="n">
        <f aca="false">D189*15%/365</f>
        <v>49.3150684931507</v>
      </c>
      <c r="F189" s="3" t="n">
        <f aca="false">F188+E189</f>
        <v>10908.904109589</v>
      </c>
      <c r="G189" s="4"/>
    </row>
    <row r="190" customFormat="false" ht="15" hidden="false" customHeight="false" outlineLevel="0" collapsed="false">
      <c r="A190" s="2" t="n">
        <v>45601</v>
      </c>
      <c r="B190" s="3" t="n">
        <f aca="false">B189+E189</f>
        <v>160908.90410959</v>
      </c>
      <c r="C190" s="4" t="n">
        <v>5000</v>
      </c>
      <c r="D190" s="3" t="n">
        <f aca="false">D189-C190</f>
        <v>115000</v>
      </c>
      <c r="E190" s="4" t="n">
        <f aca="false">D190*15%/365</f>
        <v>47.2602739726027</v>
      </c>
      <c r="F190" s="3" t="n">
        <f aca="false">F189+E190</f>
        <v>10956.1643835616</v>
      </c>
      <c r="G190" s="4"/>
    </row>
    <row r="191" customFormat="false" ht="15" hidden="false" customHeight="false" outlineLevel="0" collapsed="false">
      <c r="A191" s="2" t="n">
        <v>45602</v>
      </c>
      <c r="B191" s="3" t="n">
        <f aca="false">B190+E190</f>
        <v>160956.164383563</v>
      </c>
      <c r="C191" s="4"/>
      <c r="D191" s="3" t="n">
        <f aca="false">D190-C191</f>
        <v>115000</v>
      </c>
      <c r="E191" s="4" t="n">
        <f aca="false">D191*15%/365</f>
        <v>47.2602739726027</v>
      </c>
      <c r="F191" s="3" t="n">
        <f aca="false">F190+E191</f>
        <v>11003.4246575343</v>
      </c>
      <c r="G191" s="4"/>
    </row>
    <row r="192" customFormat="false" ht="15" hidden="false" customHeight="false" outlineLevel="0" collapsed="false">
      <c r="A192" s="2" t="n">
        <v>45603</v>
      </c>
      <c r="B192" s="3" t="n">
        <f aca="false">B191+E191</f>
        <v>161003.424657536</v>
      </c>
      <c r="C192" s="4"/>
      <c r="D192" s="3" t="n">
        <f aca="false">D191-C192</f>
        <v>115000</v>
      </c>
      <c r="E192" s="4" t="n">
        <f aca="false">D192*15%/365</f>
        <v>47.2602739726027</v>
      </c>
      <c r="F192" s="3" t="n">
        <f aca="false">F191+E192</f>
        <v>11050.6849315069</v>
      </c>
      <c r="G192" s="4"/>
    </row>
    <row r="193" customFormat="false" ht="15" hidden="false" customHeight="false" outlineLevel="0" collapsed="false">
      <c r="A193" s="2" t="n">
        <v>45604</v>
      </c>
      <c r="B193" s="3" t="n">
        <f aca="false">B192+E192</f>
        <v>161050.684931508</v>
      </c>
      <c r="C193" s="4"/>
      <c r="D193" s="3" t="n">
        <f aca="false">D192-C193</f>
        <v>115000</v>
      </c>
      <c r="E193" s="4" t="n">
        <f aca="false">D193*15%/365</f>
        <v>47.2602739726027</v>
      </c>
      <c r="F193" s="3" t="n">
        <f aca="false">F192+E193</f>
        <v>11097.9452054795</v>
      </c>
      <c r="G193" s="4"/>
    </row>
    <row r="194" customFormat="false" ht="15" hidden="false" customHeight="false" outlineLevel="0" collapsed="false">
      <c r="A194" s="2" t="n">
        <v>45605</v>
      </c>
      <c r="B194" s="3" t="n">
        <f aca="false">B193+E193</f>
        <v>161097.945205481</v>
      </c>
      <c r="C194" s="4"/>
      <c r="D194" s="3" t="n">
        <f aca="false">D193-C194</f>
        <v>115000</v>
      </c>
      <c r="E194" s="4" t="n">
        <f aca="false">D194*15%/365</f>
        <v>47.2602739726027</v>
      </c>
      <c r="F194" s="3" t="n">
        <f aca="false">F193+E194</f>
        <v>11145.2054794521</v>
      </c>
      <c r="G194" s="4"/>
    </row>
    <row r="195" customFormat="false" ht="15" hidden="false" customHeight="false" outlineLevel="0" collapsed="false">
      <c r="A195" s="2" t="n">
        <v>45606</v>
      </c>
      <c r="B195" s="3" t="n">
        <f aca="false">B194+E194</f>
        <v>161145.205479453</v>
      </c>
      <c r="C195" s="4"/>
      <c r="D195" s="3" t="n">
        <f aca="false">D194-C195</f>
        <v>115000</v>
      </c>
      <c r="E195" s="4" t="n">
        <f aca="false">D195*15%/365</f>
        <v>47.2602739726027</v>
      </c>
      <c r="F195" s="3" t="n">
        <f aca="false">F194+E195</f>
        <v>11192.4657534247</v>
      </c>
      <c r="G195" s="4"/>
    </row>
    <row r="196" customFormat="false" ht="15" hidden="false" customHeight="false" outlineLevel="0" collapsed="false">
      <c r="A196" s="2" t="n">
        <v>45607</v>
      </c>
      <c r="B196" s="3" t="n">
        <f aca="false">B195+E195</f>
        <v>161192.465753426</v>
      </c>
      <c r="C196" s="4"/>
      <c r="D196" s="3" t="n">
        <f aca="false">D195-C196</f>
        <v>115000</v>
      </c>
      <c r="E196" s="4" t="n">
        <f aca="false">D196*15%/365</f>
        <v>47.2602739726027</v>
      </c>
      <c r="F196" s="3" t="n">
        <f aca="false">F195+E196</f>
        <v>11239.7260273973</v>
      </c>
      <c r="G196" s="4"/>
    </row>
    <row r="197" customFormat="false" ht="15" hidden="false" customHeight="false" outlineLevel="0" collapsed="false">
      <c r="A197" s="2" t="n">
        <v>45608</v>
      </c>
      <c r="B197" s="3" t="n">
        <f aca="false">B196+E196</f>
        <v>161239.726027399</v>
      </c>
      <c r="C197" s="4"/>
      <c r="D197" s="3" t="n">
        <f aca="false">D196-C197</f>
        <v>115000</v>
      </c>
      <c r="E197" s="4" t="n">
        <f aca="false">D197*15%/365</f>
        <v>47.2602739726027</v>
      </c>
      <c r="F197" s="3" t="n">
        <f aca="false">F196+E197</f>
        <v>11286.9863013699</v>
      </c>
      <c r="G197" s="4"/>
    </row>
    <row r="198" customFormat="false" ht="15" hidden="false" customHeight="false" outlineLevel="0" collapsed="false">
      <c r="A198" s="2" t="n">
        <v>45609</v>
      </c>
      <c r="B198" s="3" t="n">
        <f aca="false">B197+E197</f>
        <v>161286.986301371</v>
      </c>
      <c r="C198" s="4"/>
      <c r="D198" s="3" t="n">
        <f aca="false">D197-C198</f>
        <v>115000</v>
      </c>
      <c r="E198" s="4" t="n">
        <f aca="false">D198*15%/365</f>
        <v>47.2602739726027</v>
      </c>
      <c r="F198" s="3" t="n">
        <f aca="false">F197+E198</f>
        <v>11334.2465753425</v>
      </c>
      <c r="G198" s="4"/>
    </row>
    <row r="199" customFormat="false" ht="15" hidden="false" customHeight="false" outlineLevel="0" collapsed="false">
      <c r="A199" s="2" t="n">
        <v>45610</v>
      </c>
      <c r="B199" s="3" t="n">
        <f aca="false">B198+E198</f>
        <v>161334.246575344</v>
      </c>
      <c r="C199" s="4"/>
      <c r="D199" s="3" t="n">
        <f aca="false">D198-C199</f>
        <v>115000</v>
      </c>
      <c r="E199" s="4" t="n">
        <f aca="false">D199*15%/365</f>
        <v>47.2602739726027</v>
      </c>
      <c r="F199" s="3" t="n">
        <f aca="false">F198+E199</f>
        <v>11381.5068493151</v>
      </c>
      <c r="G199" s="4"/>
    </row>
    <row r="200" customFormat="false" ht="15" hidden="false" customHeight="false" outlineLevel="0" collapsed="false">
      <c r="A200" s="2" t="n">
        <v>45611</v>
      </c>
      <c r="B200" s="3" t="n">
        <f aca="false">B199+E199</f>
        <v>161381.506849316</v>
      </c>
      <c r="C200" s="4"/>
      <c r="D200" s="3" t="n">
        <f aca="false">D199-C200</f>
        <v>115000</v>
      </c>
      <c r="E200" s="4" t="n">
        <f aca="false">D200*15%/365</f>
        <v>47.2602739726027</v>
      </c>
      <c r="F200" s="3" t="n">
        <f aca="false">F199+E200</f>
        <v>11428.7671232877</v>
      </c>
      <c r="G200" s="4"/>
    </row>
    <row r="201" customFormat="false" ht="15" hidden="false" customHeight="false" outlineLevel="0" collapsed="false">
      <c r="A201" s="2" t="n">
        <v>45612</v>
      </c>
      <c r="B201" s="3" t="n">
        <f aca="false">B200+E200</f>
        <v>161428.767123289</v>
      </c>
      <c r="C201" s="4"/>
      <c r="D201" s="3" t="n">
        <f aca="false">D200-C201</f>
        <v>115000</v>
      </c>
      <c r="E201" s="4" t="n">
        <f aca="false">D201*15%/365</f>
        <v>47.2602739726027</v>
      </c>
      <c r="F201" s="3" t="n">
        <f aca="false">F200+E201</f>
        <v>11476.0273972603</v>
      </c>
      <c r="G201" s="4"/>
    </row>
    <row r="202" customFormat="false" ht="15" hidden="false" customHeight="false" outlineLevel="0" collapsed="false">
      <c r="A202" s="2" t="n">
        <v>45613</v>
      </c>
      <c r="B202" s="3" t="n">
        <f aca="false">B201+E201</f>
        <v>161476.027397262</v>
      </c>
      <c r="C202" s="4"/>
      <c r="D202" s="3" t="n">
        <f aca="false">D201-C202</f>
        <v>115000</v>
      </c>
      <c r="E202" s="4" t="n">
        <f aca="false">D202*15%/365</f>
        <v>47.2602739726027</v>
      </c>
      <c r="F202" s="3" t="n">
        <f aca="false">F201+E202</f>
        <v>11523.2876712329</v>
      </c>
      <c r="G202" s="4"/>
    </row>
    <row r="203" customFormat="false" ht="15" hidden="false" customHeight="false" outlineLevel="0" collapsed="false">
      <c r="A203" s="2" t="n">
        <v>45614</v>
      </c>
      <c r="B203" s="3" t="n">
        <f aca="false">B202+E202</f>
        <v>161523.287671234</v>
      </c>
      <c r="C203" s="4"/>
      <c r="D203" s="3" t="n">
        <f aca="false">D202-C203</f>
        <v>115000</v>
      </c>
      <c r="E203" s="4" t="n">
        <f aca="false">D203*15%/365</f>
        <v>47.2602739726027</v>
      </c>
      <c r="F203" s="3" t="n">
        <f aca="false">F202+E203</f>
        <v>11570.5479452055</v>
      </c>
      <c r="G203" s="4"/>
    </row>
    <row r="204" customFormat="false" ht="15" hidden="false" customHeight="false" outlineLevel="0" collapsed="false">
      <c r="A204" s="2" t="n">
        <v>45615</v>
      </c>
      <c r="B204" s="3" t="n">
        <f aca="false">B203+E203</f>
        <v>161570.547945207</v>
      </c>
      <c r="C204" s="4"/>
      <c r="D204" s="3" t="n">
        <f aca="false">D203-C204</f>
        <v>115000</v>
      </c>
      <c r="E204" s="4" t="n">
        <f aca="false">D204*15%/365</f>
        <v>47.2602739726027</v>
      </c>
      <c r="F204" s="3" t="n">
        <f aca="false">F203+E204</f>
        <v>11617.8082191781</v>
      </c>
      <c r="G204" s="4"/>
    </row>
    <row r="205" customFormat="false" ht="15" hidden="false" customHeight="false" outlineLevel="0" collapsed="false">
      <c r="A205" s="2" t="n">
        <v>45616</v>
      </c>
      <c r="B205" s="3" t="n">
        <f aca="false">B204+E204</f>
        <v>161617.808219179</v>
      </c>
      <c r="C205" s="4"/>
      <c r="D205" s="3" t="n">
        <f aca="false">D204-C205</f>
        <v>115000</v>
      </c>
      <c r="E205" s="4" t="n">
        <f aca="false">D205*15%/365</f>
        <v>47.2602739726027</v>
      </c>
      <c r="F205" s="3" t="n">
        <f aca="false">F204+E205</f>
        <v>11665.0684931507</v>
      </c>
      <c r="G205" s="4"/>
    </row>
    <row r="206" customFormat="false" ht="15" hidden="false" customHeight="false" outlineLevel="0" collapsed="false">
      <c r="A206" s="2" t="n">
        <v>45617</v>
      </c>
      <c r="B206" s="3" t="n">
        <f aca="false">B205+E205</f>
        <v>161665.068493152</v>
      </c>
      <c r="C206" s="4"/>
      <c r="D206" s="3" t="n">
        <f aca="false">D205-C206</f>
        <v>115000</v>
      </c>
      <c r="E206" s="4" t="n">
        <f aca="false">D206*15%/365</f>
        <v>47.2602739726027</v>
      </c>
      <c r="F206" s="3" t="n">
        <f aca="false">F205+E206</f>
        <v>11712.3287671233</v>
      </c>
      <c r="G206" s="4"/>
    </row>
    <row r="207" customFormat="false" ht="15" hidden="false" customHeight="false" outlineLevel="0" collapsed="false">
      <c r="A207" s="2" t="n">
        <v>45618</v>
      </c>
      <c r="B207" s="3" t="n">
        <f aca="false">B206+E206</f>
        <v>161712.328767125</v>
      </c>
      <c r="C207" s="4"/>
      <c r="D207" s="3" t="n">
        <f aca="false">D206-C207</f>
        <v>115000</v>
      </c>
      <c r="E207" s="4" t="n">
        <f aca="false">D207*15%/365</f>
        <v>47.2602739726027</v>
      </c>
      <c r="F207" s="3" t="n">
        <f aca="false">F206+E207</f>
        <v>11759.5890410959</v>
      </c>
      <c r="G207" s="4"/>
    </row>
    <row r="208" customFormat="false" ht="15" hidden="false" customHeight="false" outlineLevel="0" collapsed="false">
      <c r="A208" s="2" t="n">
        <v>45619</v>
      </c>
      <c r="B208" s="3" t="n">
        <f aca="false">B207+E207</f>
        <v>161759.589041097</v>
      </c>
      <c r="C208" s="4"/>
      <c r="D208" s="3" t="n">
        <f aca="false">D207-C208</f>
        <v>115000</v>
      </c>
      <c r="E208" s="4" t="n">
        <f aca="false">D208*15%/365</f>
        <v>47.2602739726027</v>
      </c>
      <c r="F208" s="3" t="n">
        <f aca="false">F207+E208</f>
        <v>11806.8493150685</v>
      </c>
      <c r="G208" s="4"/>
    </row>
    <row r="209" customFormat="false" ht="15" hidden="false" customHeight="false" outlineLevel="0" collapsed="false">
      <c r="A209" s="2" t="n">
        <v>45620</v>
      </c>
      <c r="B209" s="3" t="n">
        <f aca="false">B208+E208</f>
        <v>161806.84931507</v>
      </c>
      <c r="C209" s="4"/>
      <c r="D209" s="3" t="n">
        <f aca="false">D208-C209</f>
        <v>115000</v>
      </c>
      <c r="E209" s="4" t="n">
        <f aca="false">D209*15%/365</f>
        <v>47.2602739726027</v>
      </c>
      <c r="F209" s="3" t="n">
        <f aca="false">F208+E209</f>
        <v>11854.1095890411</v>
      </c>
      <c r="G209" s="4"/>
    </row>
    <row r="210" customFormat="false" ht="15" hidden="false" customHeight="false" outlineLevel="0" collapsed="false">
      <c r="A210" s="2" t="n">
        <v>45621</v>
      </c>
      <c r="B210" s="3" t="n">
        <f aca="false">B209+E209</f>
        <v>161854.109589043</v>
      </c>
      <c r="C210" s="4"/>
      <c r="D210" s="3" t="n">
        <f aca="false">D209-C210</f>
        <v>115000</v>
      </c>
      <c r="E210" s="4" t="n">
        <f aca="false">D210*15%/365</f>
        <v>47.2602739726027</v>
      </c>
      <c r="F210" s="3" t="n">
        <f aca="false">F209+E210</f>
        <v>11901.3698630137</v>
      </c>
      <c r="G210" s="4"/>
    </row>
    <row r="211" customFormat="false" ht="15" hidden="false" customHeight="false" outlineLevel="0" collapsed="false">
      <c r="A211" s="2" t="n">
        <v>45622</v>
      </c>
      <c r="B211" s="3" t="n">
        <f aca="false">B210+E210</f>
        <v>161901.369863015</v>
      </c>
      <c r="C211" s="4"/>
      <c r="D211" s="3" t="n">
        <f aca="false">D210-C211</f>
        <v>115000</v>
      </c>
      <c r="E211" s="4" t="n">
        <f aca="false">D211*15%/365</f>
        <v>47.2602739726027</v>
      </c>
      <c r="F211" s="3" t="n">
        <f aca="false">F210+E211</f>
        <v>11948.6301369863</v>
      </c>
      <c r="G211" s="4"/>
    </row>
    <row r="212" customFormat="false" ht="15" hidden="false" customHeight="false" outlineLevel="0" collapsed="false">
      <c r="A212" s="2" t="n">
        <v>45623</v>
      </c>
      <c r="B212" s="3" t="n">
        <f aca="false">B211+E211</f>
        <v>161948.630136988</v>
      </c>
      <c r="C212" s="4"/>
      <c r="D212" s="3" t="n">
        <f aca="false">D211-C212</f>
        <v>115000</v>
      </c>
      <c r="E212" s="4" t="n">
        <f aca="false">D212*15%/365</f>
        <v>47.2602739726027</v>
      </c>
      <c r="F212" s="3" t="n">
        <f aca="false">F211+E212</f>
        <v>11995.8904109589</v>
      </c>
      <c r="G212" s="4"/>
    </row>
    <row r="213" customFormat="false" ht="15" hidden="false" customHeight="false" outlineLevel="0" collapsed="false">
      <c r="A213" s="2" t="n">
        <v>45624</v>
      </c>
      <c r="B213" s="3" t="n">
        <f aca="false">B212+E212</f>
        <v>161995.89041096</v>
      </c>
      <c r="C213" s="4"/>
      <c r="D213" s="3" t="n">
        <f aca="false">D212-C213</f>
        <v>115000</v>
      </c>
      <c r="E213" s="4" t="n">
        <f aca="false">D213*15%/365</f>
        <v>47.2602739726027</v>
      </c>
      <c r="F213" s="3" t="n">
        <f aca="false">F212+E213</f>
        <v>12043.1506849315</v>
      </c>
      <c r="G213" s="4"/>
    </row>
    <row r="214" customFormat="false" ht="15" hidden="false" customHeight="false" outlineLevel="0" collapsed="false">
      <c r="A214" s="2" t="n">
        <v>45625</v>
      </c>
      <c r="B214" s="3" t="n">
        <f aca="false">B213+E213</f>
        <v>162043.150684933</v>
      </c>
      <c r="C214" s="4"/>
      <c r="D214" s="3" t="n">
        <f aca="false">D213-C214</f>
        <v>115000</v>
      </c>
      <c r="E214" s="4" t="n">
        <f aca="false">D214*15%/365</f>
        <v>47.2602739726027</v>
      </c>
      <c r="F214" s="3" t="n">
        <f aca="false">F213+E214</f>
        <v>12090.4109589041</v>
      </c>
      <c r="G214" s="4"/>
    </row>
    <row r="215" customFormat="false" ht="15" hidden="false" customHeight="false" outlineLevel="0" collapsed="false">
      <c r="A215" s="2" t="n">
        <v>45626</v>
      </c>
      <c r="B215" s="3" t="n">
        <f aca="false">B214+E214</f>
        <v>162090.410958906</v>
      </c>
      <c r="C215" s="4"/>
      <c r="D215" s="3" t="n">
        <f aca="false">D214-C215</f>
        <v>115000</v>
      </c>
      <c r="E215" s="4" t="n">
        <f aca="false">D215*15%/365</f>
        <v>47.2602739726027</v>
      </c>
      <c r="F215" s="3" t="n">
        <f aca="false">F214+E215</f>
        <v>12137.6712328767</v>
      </c>
      <c r="G215" s="4"/>
    </row>
    <row r="216" customFormat="false" ht="15" hidden="false" customHeight="false" outlineLevel="0" collapsed="false">
      <c r="A216" s="2" t="n">
        <v>45627</v>
      </c>
      <c r="B216" s="3" t="n">
        <f aca="false">B215+E215</f>
        <v>162137.671232878</v>
      </c>
      <c r="C216" s="4"/>
      <c r="D216" s="3" t="n">
        <f aca="false">D215-C216</f>
        <v>115000</v>
      </c>
      <c r="E216" s="4" t="n">
        <f aca="false">D216*15%/365</f>
        <v>47.2602739726027</v>
      </c>
      <c r="F216" s="3" t="n">
        <f aca="false">F215+E216</f>
        <v>12184.9315068493</v>
      </c>
      <c r="G216" s="4"/>
    </row>
    <row r="217" customFormat="false" ht="15" hidden="false" customHeight="false" outlineLevel="0" collapsed="false">
      <c r="A217" s="2" t="n">
        <v>45628</v>
      </c>
      <c r="B217" s="3" t="n">
        <f aca="false">B216+E216</f>
        <v>162184.931506851</v>
      </c>
      <c r="C217" s="4"/>
      <c r="D217" s="3" t="n">
        <f aca="false">D216-C217</f>
        <v>115000</v>
      </c>
      <c r="E217" s="4" t="n">
        <f aca="false">D217*15%/365</f>
        <v>47.2602739726027</v>
      </c>
      <c r="F217" s="3" t="n">
        <f aca="false">F216+E217</f>
        <v>12232.1917808219</v>
      </c>
      <c r="G217" s="4"/>
    </row>
    <row r="218" customFormat="false" ht="15" hidden="false" customHeight="false" outlineLevel="0" collapsed="false">
      <c r="A218" s="2" t="n">
        <v>45629</v>
      </c>
      <c r="B218" s="3" t="n">
        <f aca="false">B217+E217</f>
        <v>162232.191780823</v>
      </c>
      <c r="C218" s="4"/>
      <c r="D218" s="3" t="n">
        <f aca="false">D217-C218</f>
        <v>115000</v>
      </c>
      <c r="E218" s="4" t="n">
        <f aca="false">D218*15%/365</f>
        <v>47.2602739726027</v>
      </c>
      <c r="F218" s="3" t="n">
        <f aca="false">F217+E218</f>
        <v>12279.4520547945</v>
      </c>
      <c r="G218" s="4"/>
    </row>
    <row r="219" customFormat="false" ht="15" hidden="false" customHeight="false" outlineLevel="0" collapsed="false">
      <c r="A219" s="2" t="n">
        <v>45630</v>
      </c>
      <c r="B219" s="3" t="n">
        <f aca="false">B218+E218</f>
        <v>162279.452054796</v>
      </c>
      <c r="C219" s="4"/>
      <c r="D219" s="3" t="n">
        <f aca="false">D218-C219</f>
        <v>115000</v>
      </c>
      <c r="E219" s="4" t="n">
        <f aca="false">D219*15%/365</f>
        <v>47.2602739726027</v>
      </c>
      <c r="F219" s="3" t="n">
        <f aca="false">F218+E219</f>
        <v>12326.7123287671</v>
      </c>
      <c r="G219" s="4"/>
    </row>
    <row r="220" customFormat="false" ht="15" hidden="false" customHeight="false" outlineLevel="0" collapsed="false">
      <c r="A220" s="2" t="n">
        <v>45631</v>
      </c>
      <c r="B220" s="3" t="n">
        <f aca="false">B219+E219</f>
        <v>162326.712328769</v>
      </c>
      <c r="C220" s="4"/>
      <c r="D220" s="3" t="n">
        <f aca="false">D219-C220</f>
        <v>115000</v>
      </c>
      <c r="E220" s="4" t="n">
        <f aca="false">D220*15%/365</f>
        <v>47.2602739726027</v>
      </c>
      <c r="F220" s="3" t="n">
        <f aca="false">F219+E220</f>
        <v>12373.9726027397</v>
      </c>
      <c r="G220" s="4"/>
    </row>
    <row r="221" customFormat="false" ht="15" hidden="false" customHeight="false" outlineLevel="0" collapsed="false">
      <c r="A221" s="2" t="n">
        <v>45632</v>
      </c>
      <c r="B221" s="3" t="n">
        <f aca="false">B220+E220</f>
        <v>162373.972602741</v>
      </c>
      <c r="C221" s="4"/>
      <c r="D221" s="3" t="n">
        <f aca="false">D220-C221</f>
        <v>115000</v>
      </c>
      <c r="E221" s="4" t="n">
        <f aca="false">D221*15%/365</f>
        <v>47.2602739726027</v>
      </c>
      <c r="F221" s="3" t="n">
        <f aca="false">F220+E221</f>
        <v>12421.2328767123</v>
      </c>
      <c r="G221" s="4"/>
    </row>
    <row r="222" customFormat="false" ht="15" hidden="false" customHeight="false" outlineLevel="0" collapsed="false">
      <c r="A222" s="2" t="n">
        <v>45633</v>
      </c>
      <c r="B222" s="3" t="n">
        <f aca="false">B221+E221</f>
        <v>162421.232876714</v>
      </c>
      <c r="C222" s="4"/>
      <c r="D222" s="3" t="n">
        <f aca="false">D221-C222</f>
        <v>115000</v>
      </c>
      <c r="E222" s="4" t="n">
        <f aca="false">D222*15%/365</f>
        <v>47.2602739726027</v>
      </c>
      <c r="F222" s="3" t="n">
        <f aca="false">F221+E222</f>
        <v>12468.4931506849</v>
      </c>
      <c r="G222" s="4"/>
    </row>
    <row r="223" customFormat="false" ht="15" hidden="false" customHeight="false" outlineLevel="0" collapsed="false">
      <c r="A223" s="2" t="n">
        <v>45634</v>
      </c>
      <c r="B223" s="3" t="n">
        <f aca="false">B222+E222</f>
        <v>162468.493150687</v>
      </c>
      <c r="C223" s="4"/>
      <c r="D223" s="3" t="n">
        <f aca="false">D222-C223</f>
        <v>115000</v>
      </c>
      <c r="E223" s="4" t="n">
        <f aca="false">D223*15%/365</f>
        <v>47.2602739726027</v>
      </c>
      <c r="F223" s="3" t="n">
        <f aca="false">F222+E223</f>
        <v>12515.7534246575</v>
      </c>
      <c r="G223" s="4"/>
    </row>
    <row r="224" customFormat="false" ht="15" hidden="false" customHeight="false" outlineLevel="0" collapsed="false">
      <c r="A224" s="2" t="n">
        <v>45635</v>
      </c>
      <c r="B224" s="3" t="n">
        <f aca="false">B223+E223</f>
        <v>162515.753424659</v>
      </c>
      <c r="C224" s="4"/>
      <c r="D224" s="3" t="n">
        <f aca="false">D223-C224</f>
        <v>115000</v>
      </c>
      <c r="E224" s="4" t="n">
        <f aca="false">D224*15%/365</f>
        <v>47.2602739726027</v>
      </c>
      <c r="F224" s="3" t="n">
        <f aca="false">F223+E224</f>
        <v>12563.0136986301</v>
      </c>
      <c r="G224" s="4"/>
    </row>
    <row r="225" customFormat="false" ht="15" hidden="false" customHeight="false" outlineLevel="0" collapsed="false">
      <c r="A225" s="2" t="n">
        <v>45636</v>
      </c>
      <c r="B225" s="3" t="n">
        <f aca="false">B224+E224</f>
        <v>162563.013698632</v>
      </c>
      <c r="C225" s="4"/>
      <c r="D225" s="3" t="n">
        <f aca="false">D224-C225</f>
        <v>115000</v>
      </c>
      <c r="E225" s="4" t="n">
        <f aca="false">D225*15%/365</f>
        <v>47.2602739726027</v>
      </c>
      <c r="F225" s="3" t="n">
        <f aca="false">F224+E225</f>
        <v>12610.2739726027</v>
      </c>
      <c r="G225" s="4"/>
    </row>
    <row r="226" customFormat="false" ht="15" hidden="false" customHeight="false" outlineLevel="0" collapsed="false">
      <c r="A226" s="2" t="n">
        <v>45637</v>
      </c>
      <c r="B226" s="3" t="n">
        <f aca="false">B225+E225</f>
        <v>162610.273972604</v>
      </c>
      <c r="C226" s="4"/>
      <c r="D226" s="3" t="n">
        <f aca="false">D225-C226</f>
        <v>115000</v>
      </c>
      <c r="E226" s="4" t="n">
        <f aca="false">D226*15%/365</f>
        <v>47.2602739726027</v>
      </c>
      <c r="F226" s="3" t="n">
        <f aca="false">F225+E226</f>
        <v>12657.5342465753</v>
      </c>
      <c r="G226" s="4"/>
    </row>
    <row r="227" customFormat="false" ht="15" hidden="false" customHeight="false" outlineLevel="0" collapsed="false">
      <c r="A227" s="2" t="n">
        <v>45638</v>
      </c>
      <c r="B227" s="3" t="n">
        <f aca="false">B226+E226</f>
        <v>162657.534246577</v>
      </c>
      <c r="C227" s="4"/>
      <c r="D227" s="3" t="n">
        <f aca="false">D226-C227</f>
        <v>115000</v>
      </c>
      <c r="E227" s="4" t="n">
        <f aca="false">D227*15%/365</f>
        <v>47.2602739726027</v>
      </c>
      <c r="F227" s="3" t="n">
        <f aca="false">F226+E227</f>
        <v>12704.7945205479</v>
      </c>
      <c r="G227" s="4"/>
    </row>
    <row r="228" customFormat="false" ht="15" hidden="false" customHeight="false" outlineLevel="0" collapsed="false">
      <c r="A228" s="2" t="n">
        <v>45639</v>
      </c>
      <c r="B228" s="3" t="n">
        <f aca="false">B227+E227</f>
        <v>162704.79452055</v>
      </c>
      <c r="C228" s="4"/>
      <c r="D228" s="3" t="n">
        <f aca="false">D227-C228</f>
        <v>115000</v>
      </c>
      <c r="E228" s="4" t="n">
        <f aca="false">D228*15%/365</f>
        <v>47.2602739726027</v>
      </c>
      <c r="F228" s="3" t="n">
        <f aca="false">F227+E228</f>
        <v>12752.0547945205</v>
      </c>
      <c r="G228" s="4"/>
    </row>
    <row r="229" customFormat="false" ht="15" hidden="false" customHeight="false" outlineLevel="0" collapsed="false">
      <c r="A229" s="2" t="n">
        <v>45640</v>
      </c>
      <c r="B229" s="3" t="n">
        <f aca="false">B228+E228</f>
        <v>162752.054794522</v>
      </c>
      <c r="C229" s="4"/>
      <c r="D229" s="3" t="n">
        <f aca="false">D228-C229</f>
        <v>115000</v>
      </c>
      <c r="E229" s="4" t="n">
        <f aca="false">D229*15%/365</f>
        <v>47.2602739726027</v>
      </c>
      <c r="F229" s="3" t="n">
        <f aca="false">F228+E229</f>
        <v>12799.3150684932</v>
      </c>
      <c r="G229" s="4"/>
    </row>
    <row r="230" customFormat="false" ht="15" hidden="false" customHeight="false" outlineLevel="0" collapsed="false">
      <c r="A230" s="2" t="n">
        <v>45641</v>
      </c>
      <c r="B230" s="3" t="n">
        <f aca="false">B229+E229</f>
        <v>162799.315068495</v>
      </c>
      <c r="C230" s="4"/>
      <c r="D230" s="3" t="n">
        <f aca="false">D229-C230</f>
        <v>115000</v>
      </c>
      <c r="E230" s="4" t="n">
        <f aca="false">D230*15%/365</f>
        <v>47.2602739726027</v>
      </c>
      <c r="F230" s="3" t="n">
        <f aca="false">F229+E230</f>
        <v>12846.5753424658</v>
      </c>
      <c r="G230" s="4"/>
    </row>
    <row r="231" customFormat="false" ht="15" hidden="false" customHeight="false" outlineLevel="0" collapsed="false">
      <c r="A231" s="2" t="n">
        <v>45642</v>
      </c>
      <c r="B231" s="3" t="n">
        <f aca="false">B230+E230</f>
        <v>162846.575342467</v>
      </c>
      <c r="C231" s="4"/>
      <c r="D231" s="3" t="n">
        <f aca="false">D230-C231</f>
        <v>115000</v>
      </c>
      <c r="E231" s="4" t="n">
        <f aca="false">D231*15%/365</f>
        <v>47.2602739726027</v>
      </c>
      <c r="F231" s="3" t="n">
        <f aca="false">F230+E231</f>
        <v>12893.8356164384</v>
      </c>
      <c r="G231" s="4"/>
    </row>
    <row r="232" customFormat="false" ht="15" hidden="false" customHeight="false" outlineLevel="0" collapsed="false">
      <c r="A232" s="2" t="n">
        <v>45643</v>
      </c>
      <c r="B232" s="3" t="n">
        <f aca="false">B231+E231</f>
        <v>162893.83561644</v>
      </c>
      <c r="C232" s="4"/>
      <c r="D232" s="3" t="n">
        <f aca="false">D231-C232</f>
        <v>115000</v>
      </c>
      <c r="E232" s="4" t="n">
        <f aca="false">D232*15%/365</f>
        <v>47.2602739726027</v>
      </c>
      <c r="F232" s="3" t="n">
        <f aca="false">F231+E232</f>
        <v>12941.095890411</v>
      </c>
      <c r="G232" s="4"/>
    </row>
    <row r="233" customFormat="false" ht="15" hidden="false" customHeight="false" outlineLevel="0" collapsed="false">
      <c r="A233" s="2" t="n">
        <v>45644</v>
      </c>
      <c r="B233" s="3" t="n">
        <f aca="false">B232+E232</f>
        <v>162941.095890413</v>
      </c>
      <c r="C233" s="4"/>
      <c r="D233" s="3" t="n">
        <f aca="false">D232-C233</f>
        <v>115000</v>
      </c>
      <c r="E233" s="4" t="n">
        <f aca="false">D233*15%/365</f>
        <v>47.2602739726027</v>
      </c>
      <c r="F233" s="3" t="n">
        <f aca="false">F232+E233</f>
        <v>12988.3561643836</v>
      </c>
      <c r="G233" s="4"/>
    </row>
    <row r="234" customFormat="false" ht="15" hidden="false" customHeight="false" outlineLevel="0" collapsed="false">
      <c r="A234" s="2" t="n">
        <v>45645</v>
      </c>
      <c r="B234" s="3" t="n">
        <f aca="false">B233+E233</f>
        <v>162988.356164385</v>
      </c>
      <c r="C234" s="4"/>
      <c r="D234" s="3" t="n">
        <f aca="false">D233-C234</f>
        <v>115000</v>
      </c>
      <c r="E234" s="4" t="n">
        <f aca="false">D234*15%/365</f>
        <v>47.2602739726027</v>
      </c>
      <c r="F234" s="3" t="n">
        <f aca="false">F233+E234</f>
        <v>13035.6164383562</v>
      </c>
      <c r="G234" s="4"/>
    </row>
    <row r="235" customFormat="false" ht="15" hidden="false" customHeight="false" outlineLevel="0" collapsed="false">
      <c r="A235" s="2" t="n">
        <v>45646</v>
      </c>
      <c r="B235" s="3" t="n">
        <f aca="false">B234+E234</f>
        <v>163035.616438358</v>
      </c>
      <c r="C235" s="4"/>
      <c r="D235" s="3" t="n">
        <f aca="false">D234-C235</f>
        <v>115000</v>
      </c>
      <c r="E235" s="4" t="n">
        <f aca="false">D235*15%/365</f>
        <v>47.2602739726027</v>
      </c>
      <c r="F235" s="3" t="n">
        <f aca="false">F234+E235</f>
        <v>13082.8767123288</v>
      </c>
      <c r="G235" s="4"/>
    </row>
    <row r="236" customFormat="false" ht="15" hidden="false" customHeight="false" outlineLevel="0" collapsed="false">
      <c r="A236" s="2" t="n">
        <v>45647</v>
      </c>
      <c r="B236" s="3" t="n">
        <f aca="false">B235+E235</f>
        <v>163082.876712331</v>
      </c>
      <c r="C236" s="4"/>
      <c r="D236" s="3" t="n">
        <f aca="false">D235-C236</f>
        <v>115000</v>
      </c>
      <c r="E236" s="4" t="n">
        <f aca="false">D236*15%/365</f>
        <v>47.2602739726027</v>
      </c>
      <c r="F236" s="3" t="n">
        <f aca="false">F235+E236</f>
        <v>13130.1369863014</v>
      </c>
      <c r="G236" s="4"/>
    </row>
    <row r="237" customFormat="false" ht="15" hidden="false" customHeight="false" outlineLevel="0" collapsed="false">
      <c r="A237" s="2" t="n">
        <v>45648</v>
      </c>
      <c r="B237" s="3" t="n">
        <f aca="false">B236+E236</f>
        <v>163130.136986303</v>
      </c>
      <c r="C237" s="4"/>
      <c r="D237" s="3" t="n">
        <f aca="false">D236-C237</f>
        <v>115000</v>
      </c>
      <c r="E237" s="4" t="n">
        <f aca="false">D237*15%/365</f>
        <v>47.2602739726027</v>
      </c>
      <c r="F237" s="3" t="n">
        <f aca="false">F236+E237</f>
        <v>13177.397260274</v>
      </c>
      <c r="G237" s="4"/>
    </row>
    <row r="238" customFormat="false" ht="15" hidden="false" customHeight="false" outlineLevel="0" collapsed="false">
      <c r="A238" s="2" t="n">
        <v>45649</v>
      </c>
      <c r="B238" s="3" t="n">
        <f aca="false">B237+E237</f>
        <v>163177.397260276</v>
      </c>
      <c r="C238" s="4"/>
      <c r="D238" s="3" t="n">
        <f aca="false">D237-C238</f>
        <v>115000</v>
      </c>
      <c r="E238" s="4" t="n">
        <f aca="false">D238*15%/365</f>
        <v>47.2602739726027</v>
      </c>
      <c r="F238" s="3" t="n">
        <f aca="false">F237+E238</f>
        <v>13224.6575342466</v>
      </c>
      <c r="G238" s="4"/>
    </row>
    <row r="239" customFormat="false" ht="15" hidden="false" customHeight="false" outlineLevel="0" collapsed="false">
      <c r="A239" s="2" t="n">
        <v>45650</v>
      </c>
      <c r="B239" s="3" t="n">
        <f aca="false">B238+E238</f>
        <v>163224.657534248</v>
      </c>
      <c r="C239" s="4"/>
      <c r="D239" s="3" t="n">
        <f aca="false">D238-C239</f>
        <v>115000</v>
      </c>
      <c r="E239" s="4" t="n">
        <f aca="false">D239*15%/365</f>
        <v>47.2602739726027</v>
      </c>
      <c r="F239" s="3" t="n">
        <f aca="false">F238+E239</f>
        <v>13271.9178082192</v>
      </c>
      <c r="G239" s="4"/>
    </row>
    <row r="240" customFormat="false" ht="15" hidden="false" customHeight="false" outlineLevel="0" collapsed="false">
      <c r="A240" s="2" t="n">
        <v>45651</v>
      </c>
      <c r="B240" s="3" t="n">
        <f aca="false">B239+E239</f>
        <v>163271.917808221</v>
      </c>
      <c r="C240" s="4"/>
      <c r="D240" s="3" t="n">
        <f aca="false">D239-C240</f>
        <v>115000</v>
      </c>
      <c r="E240" s="4" t="n">
        <f aca="false">D240*15%/365</f>
        <v>47.2602739726027</v>
      </c>
      <c r="F240" s="3" t="n">
        <f aca="false">F239+E240</f>
        <v>13319.1780821918</v>
      </c>
      <c r="G240" s="4"/>
    </row>
    <row r="241" customFormat="false" ht="15" hidden="false" customHeight="false" outlineLevel="0" collapsed="false">
      <c r="A241" s="2" t="n">
        <v>45652</v>
      </c>
      <c r="B241" s="3" t="n">
        <f aca="false">B240+E240</f>
        <v>163319.178082194</v>
      </c>
      <c r="C241" s="4"/>
      <c r="D241" s="3" t="n">
        <f aca="false">D240-C241</f>
        <v>115000</v>
      </c>
      <c r="E241" s="4" t="n">
        <f aca="false">D241*15%/365</f>
        <v>47.2602739726027</v>
      </c>
      <c r="F241" s="3" t="n">
        <f aca="false">F240+E241</f>
        <v>13366.4383561644</v>
      </c>
      <c r="G241" s="4"/>
    </row>
    <row r="242" customFormat="false" ht="15" hidden="false" customHeight="false" outlineLevel="0" collapsed="false">
      <c r="A242" s="2" t="n">
        <v>45653</v>
      </c>
      <c r="B242" s="3" t="n">
        <f aca="false">B241+E241</f>
        <v>163366.438356166</v>
      </c>
      <c r="C242" s="4"/>
      <c r="D242" s="3" t="n">
        <f aca="false">D241-C242</f>
        <v>115000</v>
      </c>
      <c r="E242" s="4" t="n">
        <f aca="false">D242*15%/365</f>
        <v>47.2602739726027</v>
      </c>
      <c r="F242" s="3" t="n">
        <f aca="false">F241+E242</f>
        <v>13413.698630137</v>
      </c>
      <c r="G242" s="4"/>
    </row>
    <row r="243" customFormat="false" ht="15" hidden="false" customHeight="false" outlineLevel="0" collapsed="false">
      <c r="A243" s="2" t="n">
        <v>45654</v>
      </c>
      <c r="B243" s="3" t="n">
        <f aca="false">B242+E242</f>
        <v>163413.698630139</v>
      </c>
      <c r="C243" s="4"/>
      <c r="D243" s="3" t="n">
        <f aca="false">D242-C243</f>
        <v>115000</v>
      </c>
      <c r="E243" s="4" t="n">
        <f aca="false">D243*15%/365</f>
        <v>47.2602739726027</v>
      </c>
      <c r="F243" s="3" t="n">
        <f aca="false">F242+E243</f>
        <v>13460.9589041096</v>
      </c>
      <c r="G243" s="4"/>
    </row>
    <row r="244" customFormat="false" ht="15" hidden="false" customHeight="false" outlineLevel="0" collapsed="false">
      <c r="A244" s="2" t="n">
        <v>45655</v>
      </c>
      <c r="B244" s="3" t="n">
        <f aca="false">B243+E243</f>
        <v>163460.958904111</v>
      </c>
      <c r="C244" s="4"/>
      <c r="D244" s="3" t="n">
        <f aca="false">D243-C244</f>
        <v>115000</v>
      </c>
      <c r="E244" s="4" t="n">
        <f aca="false">D244*15%/365</f>
        <v>47.2602739726027</v>
      </c>
      <c r="F244" s="3" t="n">
        <f aca="false">F243+E244</f>
        <v>13508.2191780822</v>
      </c>
      <c r="G244" s="4"/>
    </row>
    <row r="245" customFormat="false" ht="15" hidden="false" customHeight="false" outlineLevel="0" collapsed="false">
      <c r="A245" s="2" t="n">
        <v>45656</v>
      </c>
      <c r="B245" s="3" t="n">
        <f aca="false">B244+E244</f>
        <v>163508.219178084</v>
      </c>
      <c r="C245" s="4"/>
      <c r="D245" s="3" t="n">
        <f aca="false">D244-C245</f>
        <v>115000</v>
      </c>
      <c r="E245" s="4" t="n">
        <f aca="false">D245*15%/365</f>
        <v>47.2602739726027</v>
      </c>
      <c r="F245" s="3" t="n">
        <f aca="false">F244+E245</f>
        <v>13555.4794520548</v>
      </c>
      <c r="G245" s="4"/>
    </row>
    <row r="246" customFormat="false" ht="15" hidden="false" customHeight="false" outlineLevel="0" collapsed="false">
      <c r="A246" s="2" t="n">
        <v>45657</v>
      </c>
      <c r="B246" s="3" t="n">
        <f aca="false">B245+E245</f>
        <v>163555.479452057</v>
      </c>
      <c r="C246" s="4"/>
      <c r="D246" s="3" t="n">
        <f aca="false">D245-C246</f>
        <v>115000</v>
      </c>
      <c r="E246" s="4" t="n">
        <f aca="false">D246*15%/365</f>
        <v>47.2602739726027</v>
      </c>
      <c r="F246" s="3" t="n">
        <f aca="false">F245+E246</f>
        <v>13602.7397260274</v>
      </c>
      <c r="G246" s="4"/>
    </row>
    <row r="247" customFormat="false" ht="15" hidden="false" customHeight="false" outlineLevel="0" collapsed="false">
      <c r="A247" s="2" t="n">
        <v>45658</v>
      </c>
      <c r="B247" s="3" t="n">
        <f aca="false">B246+E246</f>
        <v>163602.739726029</v>
      </c>
      <c r="C247" s="4"/>
      <c r="D247" s="3" t="n">
        <f aca="false">D246-C247</f>
        <v>115000</v>
      </c>
      <c r="E247" s="4" t="n">
        <f aca="false">D247*15%/365</f>
        <v>47.2602739726027</v>
      </c>
      <c r="F247" s="3" t="n">
        <f aca="false">F246+E247</f>
        <v>13650</v>
      </c>
      <c r="G247" s="4"/>
    </row>
    <row r="248" customFormat="false" ht="15" hidden="false" customHeight="false" outlineLevel="0" collapsed="false">
      <c r="A248" s="2" t="n">
        <v>45659</v>
      </c>
      <c r="B248" s="3" t="n">
        <f aca="false">B247+E247</f>
        <v>163650.000000002</v>
      </c>
      <c r="C248" s="4"/>
      <c r="D248" s="3" t="n">
        <f aca="false">D247-C248</f>
        <v>115000</v>
      </c>
      <c r="E248" s="4" t="n">
        <f aca="false">D248*15%/365</f>
        <v>47.2602739726027</v>
      </c>
      <c r="F248" s="3" t="n">
        <f aca="false">F247+E248</f>
        <v>13697.2602739726</v>
      </c>
      <c r="G248" s="4"/>
    </row>
    <row r="249" customFormat="false" ht="15" hidden="false" customHeight="false" outlineLevel="0" collapsed="false">
      <c r="A249" s="2" t="n">
        <v>45660</v>
      </c>
      <c r="B249" s="3" t="n">
        <f aca="false">B248+E248</f>
        <v>163697.260273974</v>
      </c>
      <c r="C249" s="4"/>
      <c r="D249" s="3" t="n">
        <f aca="false">D248-C249</f>
        <v>115000</v>
      </c>
      <c r="E249" s="4" t="n">
        <f aca="false">D249*15%/365</f>
        <v>47.2602739726027</v>
      </c>
      <c r="F249" s="3" t="n">
        <f aca="false">F248+E249</f>
        <v>13744.5205479452</v>
      </c>
      <c r="G249" s="4"/>
    </row>
    <row r="250" customFormat="false" ht="15" hidden="false" customHeight="false" outlineLevel="0" collapsed="false">
      <c r="A250" s="2" t="n">
        <v>45661</v>
      </c>
      <c r="B250" s="3" t="n">
        <f aca="false">B249+E249</f>
        <v>163744.520547947</v>
      </c>
      <c r="C250" s="4"/>
      <c r="D250" s="3" t="n">
        <f aca="false">D249-C250</f>
        <v>115000</v>
      </c>
      <c r="E250" s="4" t="n">
        <f aca="false">D250*15%/365</f>
        <v>47.2602739726027</v>
      </c>
      <c r="F250" s="3" t="n">
        <f aca="false">F249+E250</f>
        <v>13791.7808219178</v>
      </c>
      <c r="G250" s="4"/>
    </row>
    <row r="251" customFormat="false" ht="15" hidden="false" customHeight="false" outlineLevel="0" collapsed="false">
      <c r="A251" s="2" t="n">
        <v>45662</v>
      </c>
      <c r="B251" s="3" t="n">
        <f aca="false">B250+E250</f>
        <v>163791.78082192</v>
      </c>
      <c r="C251" s="4"/>
      <c r="D251" s="3" t="n">
        <f aca="false">D250-C251</f>
        <v>115000</v>
      </c>
      <c r="E251" s="4" t="n">
        <f aca="false">D251*15%/365</f>
        <v>47.2602739726027</v>
      </c>
      <c r="F251" s="3" t="n">
        <f aca="false">F250+E251</f>
        <v>13839.0410958904</v>
      </c>
      <c r="G251" s="4"/>
    </row>
    <row r="252" customFormat="false" ht="15" hidden="false" customHeight="false" outlineLevel="0" collapsed="false">
      <c r="A252" s="2" t="n">
        <v>45663</v>
      </c>
      <c r="B252" s="3" t="n">
        <f aca="false">B251+E251</f>
        <v>163839.041095892</v>
      </c>
      <c r="C252" s="4"/>
      <c r="D252" s="3" t="n">
        <f aca="false">D251-C252</f>
        <v>115000</v>
      </c>
      <c r="E252" s="4" t="n">
        <f aca="false">D252*15%/365</f>
        <v>47.2602739726027</v>
      </c>
      <c r="F252" s="3" t="n">
        <f aca="false">F251+E252</f>
        <v>13886.301369863</v>
      </c>
      <c r="G252" s="4"/>
    </row>
    <row r="253" customFormat="false" ht="15" hidden="false" customHeight="false" outlineLevel="0" collapsed="false">
      <c r="A253" s="2" t="n">
        <v>45664</v>
      </c>
      <c r="B253" s="3" t="n">
        <f aca="false">B252+E252</f>
        <v>163886.301369865</v>
      </c>
      <c r="C253" s="4"/>
      <c r="D253" s="3" t="n">
        <f aca="false">D252-C253</f>
        <v>115000</v>
      </c>
      <c r="E253" s="4" t="n">
        <f aca="false">D253*15%/365</f>
        <v>47.2602739726027</v>
      </c>
      <c r="F253" s="3" t="n">
        <f aca="false">F252+E253</f>
        <v>13933.5616438356</v>
      </c>
      <c r="G253" s="4"/>
    </row>
    <row r="254" customFormat="false" ht="15" hidden="false" customHeight="false" outlineLevel="0" collapsed="false">
      <c r="A254" s="2" t="n">
        <v>45665</v>
      </c>
      <c r="B254" s="3" t="n">
        <f aca="false">B253+E253</f>
        <v>163933.561643838</v>
      </c>
      <c r="C254" s="4"/>
      <c r="D254" s="3" t="n">
        <f aca="false">D253-C254</f>
        <v>115000</v>
      </c>
      <c r="E254" s="4" t="n">
        <f aca="false">D254*15%/365</f>
        <v>47.2602739726027</v>
      </c>
      <c r="F254" s="3" t="n">
        <f aca="false">F253+E254</f>
        <v>13980.8219178082</v>
      </c>
      <c r="G254" s="4"/>
    </row>
    <row r="255" customFormat="false" ht="15" hidden="false" customHeight="false" outlineLevel="0" collapsed="false">
      <c r="A255" s="2" t="n">
        <v>45666</v>
      </c>
      <c r="B255" s="3" t="n">
        <f aca="false">B254+E254</f>
        <v>163980.82191781</v>
      </c>
      <c r="C255" s="4"/>
      <c r="D255" s="3" t="n">
        <f aca="false">D254-C255</f>
        <v>115000</v>
      </c>
      <c r="E255" s="4" t="n">
        <f aca="false">D255*15%/365</f>
        <v>47.2602739726027</v>
      </c>
      <c r="F255" s="3" t="n">
        <f aca="false">F254+E255</f>
        <v>14028.0821917808</v>
      </c>
      <c r="G255" s="4"/>
    </row>
    <row r="256" customFormat="false" ht="15" hidden="false" customHeight="false" outlineLevel="0" collapsed="false">
      <c r="A256" s="2" t="n">
        <v>45667</v>
      </c>
      <c r="B256" s="3" t="n">
        <f aca="false">B255+E255</f>
        <v>164028.082191783</v>
      </c>
      <c r="C256" s="4"/>
      <c r="D256" s="3" t="n">
        <f aca="false">D255-C256</f>
        <v>115000</v>
      </c>
      <c r="E256" s="4" t="n">
        <f aca="false">D256*15%/365</f>
        <v>47.2602739726027</v>
      </c>
      <c r="F256" s="3" t="n">
        <f aca="false">F255+E256</f>
        <v>14075.3424657534</v>
      </c>
      <c r="G256" s="4"/>
    </row>
    <row r="257" customFormat="false" ht="15" hidden="false" customHeight="false" outlineLevel="0" collapsed="false">
      <c r="A257" s="2" t="n">
        <v>45668</v>
      </c>
      <c r="B257" s="3" t="n">
        <f aca="false">B256+E256</f>
        <v>164075.342465755</v>
      </c>
      <c r="C257" s="4"/>
      <c r="D257" s="3" t="n">
        <f aca="false">D256-C257</f>
        <v>115000</v>
      </c>
      <c r="E257" s="4" t="n">
        <f aca="false">D257*15%/365</f>
        <v>47.2602739726027</v>
      </c>
      <c r="F257" s="3" t="n">
        <f aca="false">F256+E257</f>
        <v>14122.602739726</v>
      </c>
      <c r="G257" s="4"/>
    </row>
    <row r="258" customFormat="false" ht="15" hidden="false" customHeight="false" outlineLevel="0" collapsed="false">
      <c r="A258" s="2" t="n">
        <v>45669</v>
      </c>
      <c r="B258" s="3" t="n">
        <f aca="false">B257+E257</f>
        <v>164122.602739728</v>
      </c>
      <c r="C258" s="4"/>
      <c r="D258" s="3" t="n">
        <f aca="false">D257-C258</f>
        <v>115000</v>
      </c>
      <c r="E258" s="4" t="n">
        <f aca="false">D258*15%/365</f>
        <v>47.2602739726027</v>
      </c>
      <c r="F258" s="3" t="n">
        <f aca="false">F257+E258</f>
        <v>14169.8630136986</v>
      </c>
      <c r="G258" s="4"/>
    </row>
    <row r="259" customFormat="false" ht="15" hidden="false" customHeight="false" outlineLevel="0" collapsed="false">
      <c r="A259" s="2" t="n">
        <v>45670</v>
      </c>
      <c r="B259" s="3" t="n">
        <f aca="false">B258+E258</f>
        <v>164169.863013701</v>
      </c>
      <c r="C259" s="4"/>
      <c r="D259" s="3" t="n">
        <f aca="false">D258-C259</f>
        <v>115000</v>
      </c>
      <c r="E259" s="4" t="n">
        <f aca="false">D259*15%/365</f>
        <v>47.2602739726027</v>
      </c>
      <c r="F259" s="3" t="n">
        <f aca="false">F258+E259</f>
        <v>14217.1232876712</v>
      </c>
      <c r="G259" s="4"/>
    </row>
    <row r="260" customFormat="false" ht="15" hidden="false" customHeight="false" outlineLevel="0" collapsed="false">
      <c r="A260" s="2" t="n">
        <v>45671</v>
      </c>
      <c r="B260" s="3" t="n">
        <f aca="false">B259+E259</f>
        <v>164217.123287673</v>
      </c>
      <c r="C260" s="4"/>
      <c r="D260" s="3" t="n">
        <f aca="false">D259-C260</f>
        <v>115000</v>
      </c>
      <c r="E260" s="4" t="n">
        <f aca="false">D260*15%/365</f>
        <v>47.2602739726027</v>
      </c>
      <c r="F260" s="3" t="n">
        <f aca="false">F259+E260</f>
        <v>14264.3835616438</v>
      </c>
      <c r="G260" s="4"/>
    </row>
    <row r="261" customFormat="false" ht="15" hidden="false" customHeight="false" outlineLevel="0" collapsed="false">
      <c r="A261" s="2" t="n">
        <v>45672</v>
      </c>
      <c r="B261" s="3" t="n">
        <f aca="false">B260+E260</f>
        <v>164264.383561646</v>
      </c>
      <c r="C261" s="4"/>
      <c r="D261" s="3" t="n">
        <f aca="false">D260-C261</f>
        <v>115000</v>
      </c>
      <c r="E261" s="4" t="n">
        <f aca="false">D261*15%/365</f>
        <v>47.2602739726027</v>
      </c>
      <c r="F261" s="3" t="n">
        <f aca="false">F260+E261</f>
        <v>14311.6438356164</v>
      </c>
      <c r="G261" s="4"/>
    </row>
    <row r="262" customFormat="false" ht="15" hidden="false" customHeight="false" outlineLevel="0" collapsed="false">
      <c r="A262" s="2" t="n">
        <v>45673</v>
      </c>
      <c r="B262" s="3" t="n">
        <f aca="false">B261+E261</f>
        <v>164311.643835618</v>
      </c>
      <c r="C262" s="4"/>
      <c r="D262" s="3" t="n">
        <f aca="false">D261-C262</f>
        <v>115000</v>
      </c>
      <c r="E262" s="4" t="n">
        <f aca="false">D262*15%/365</f>
        <v>47.2602739726027</v>
      </c>
      <c r="F262" s="3" t="n">
        <f aca="false">F261+E262</f>
        <v>14358.904109589</v>
      </c>
      <c r="G262" s="4"/>
    </row>
    <row r="263" customFormat="false" ht="15" hidden="false" customHeight="false" outlineLevel="0" collapsed="false">
      <c r="A263" s="2" t="n">
        <v>45674</v>
      </c>
      <c r="B263" s="3" t="n">
        <f aca="false">B262+E262</f>
        <v>164358.904109591</v>
      </c>
      <c r="C263" s="4"/>
      <c r="D263" s="3" t="n">
        <f aca="false">D262-C263</f>
        <v>115000</v>
      </c>
      <c r="E263" s="4" t="n">
        <f aca="false">D263*15%/365</f>
        <v>47.2602739726027</v>
      </c>
      <c r="F263" s="3" t="n">
        <f aca="false">F262+E263</f>
        <v>14406.1643835616</v>
      </c>
      <c r="G263" s="4"/>
    </row>
    <row r="264" customFormat="false" ht="15" hidden="false" customHeight="false" outlineLevel="0" collapsed="false">
      <c r="A264" s="2" t="n">
        <v>45675</v>
      </c>
      <c r="B264" s="3" t="n">
        <f aca="false">B263+E263</f>
        <v>164406.164383564</v>
      </c>
      <c r="C264" s="4"/>
      <c r="D264" s="3" t="n">
        <f aca="false">D263-C264</f>
        <v>115000</v>
      </c>
      <c r="E264" s="4" t="n">
        <f aca="false">D264*15%/365</f>
        <v>47.2602739726027</v>
      </c>
      <c r="F264" s="3" t="n">
        <f aca="false">F263+E264</f>
        <v>14453.4246575342</v>
      </c>
      <c r="G264" s="4"/>
    </row>
    <row r="265" customFormat="false" ht="15" hidden="false" customHeight="false" outlineLevel="0" collapsed="false">
      <c r="A265" s="2" t="n">
        <v>45676</v>
      </c>
      <c r="B265" s="3" t="n">
        <f aca="false">B264+E264</f>
        <v>164453.424657536</v>
      </c>
      <c r="C265" s="4"/>
      <c r="D265" s="3" t="n">
        <f aca="false">D264-C265</f>
        <v>115000</v>
      </c>
      <c r="E265" s="4" t="n">
        <f aca="false">D265*15%/365</f>
        <v>47.2602739726027</v>
      </c>
      <c r="F265" s="3" t="n">
        <f aca="false">F264+E265</f>
        <v>14500.6849315068</v>
      </c>
      <c r="G265" s="4"/>
    </row>
    <row r="266" customFormat="false" ht="15" hidden="false" customHeight="false" outlineLevel="0" collapsed="false">
      <c r="A266" s="2" t="n">
        <v>45677</v>
      </c>
      <c r="B266" s="3" t="n">
        <f aca="false">B265+E265</f>
        <v>164500.684931509</v>
      </c>
      <c r="C266" s="4"/>
      <c r="D266" s="3" t="n">
        <f aca="false">D265-C266</f>
        <v>115000</v>
      </c>
      <c r="E266" s="4" t="n">
        <f aca="false">D266*15%/365</f>
        <v>47.2602739726027</v>
      </c>
      <c r="F266" s="3" t="n">
        <f aca="false">F265+E266</f>
        <v>14547.9452054794</v>
      </c>
      <c r="G266" s="4"/>
    </row>
    <row r="267" customFormat="false" ht="15" hidden="false" customHeight="false" outlineLevel="0" collapsed="false">
      <c r="A267" s="2" t="n">
        <v>45678</v>
      </c>
      <c r="B267" s="3" t="n">
        <f aca="false">B266+E266</f>
        <v>164547.945205482</v>
      </c>
      <c r="C267" s="4"/>
      <c r="D267" s="3" t="n">
        <f aca="false">D266-C267</f>
        <v>115000</v>
      </c>
      <c r="E267" s="4" t="n">
        <f aca="false">D267*15%/365</f>
        <v>47.2602739726027</v>
      </c>
      <c r="F267" s="3" t="n">
        <f aca="false">F266+E267</f>
        <v>14595.205479452</v>
      </c>
      <c r="G267" s="4"/>
    </row>
    <row r="268" customFormat="false" ht="15" hidden="false" customHeight="false" outlineLevel="0" collapsed="false">
      <c r="A268" s="2" t="n">
        <v>45679</v>
      </c>
      <c r="B268" s="3" t="n">
        <f aca="false">B267+E267</f>
        <v>164595.205479454</v>
      </c>
      <c r="C268" s="4"/>
      <c r="D268" s="3" t="n">
        <f aca="false">D267-C268</f>
        <v>115000</v>
      </c>
      <c r="E268" s="4" t="n">
        <f aca="false">D268*15%/365</f>
        <v>47.2602739726027</v>
      </c>
      <c r="F268" s="3" t="n">
        <f aca="false">F267+E268</f>
        <v>14642.4657534247</v>
      </c>
      <c r="G268" s="4"/>
    </row>
    <row r="269" customFormat="false" ht="15" hidden="false" customHeight="false" outlineLevel="0" collapsed="false">
      <c r="A269" s="2" t="n">
        <v>45680</v>
      </c>
      <c r="B269" s="3" t="n">
        <f aca="false">B268+E268</f>
        <v>164642.465753427</v>
      </c>
      <c r="C269" s="4"/>
      <c r="D269" s="3" t="n">
        <f aca="false">D268-C269</f>
        <v>115000</v>
      </c>
      <c r="E269" s="4" t="n">
        <f aca="false">D269*15%/365</f>
        <v>47.2602739726027</v>
      </c>
      <c r="F269" s="3" t="n">
        <f aca="false">F268+E269</f>
        <v>14689.7260273973</v>
      </c>
      <c r="G269" s="4"/>
    </row>
    <row r="270" customFormat="false" ht="15" hidden="false" customHeight="false" outlineLevel="0" collapsed="false">
      <c r="A270" s="2" t="n">
        <v>45681</v>
      </c>
      <c r="B270" s="3" t="n">
        <f aca="false">B269+E269</f>
        <v>164689.726027399</v>
      </c>
      <c r="C270" s="4"/>
      <c r="D270" s="3" t="n">
        <f aca="false">D269-C270</f>
        <v>115000</v>
      </c>
      <c r="E270" s="4" t="n">
        <f aca="false">D270*15%/365</f>
        <v>47.2602739726027</v>
      </c>
      <c r="F270" s="3" t="n">
        <f aca="false">F269+E270</f>
        <v>14736.9863013699</v>
      </c>
      <c r="G270" s="4"/>
    </row>
    <row r="271" customFormat="false" ht="15" hidden="false" customHeight="false" outlineLevel="0" collapsed="false">
      <c r="A271" s="2" t="n">
        <v>45682</v>
      </c>
      <c r="B271" s="3" t="n">
        <f aca="false">B270+E270</f>
        <v>164736.986301372</v>
      </c>
      <c r="C271" s="4"/>
      <c r="D271" s="3" t="n">
        <f aca="false">D270-C271</f>
        <v>115000</v>
      </c>
      <c r="E271" s="4" t="n">
        <f aca="false">D271*15%/365</f>
        <v>47.2602739726027</v>
      </c>
      <c r="F271" s="3" t="n">
        <f aca="false">F270+E271</f>
        <v>14784.2465753425</v>
      </c>
      <c r="G271" s="4"/>
    </row>
    <row r="272" customFormat="false" ht="15" hidden="false" customHeight="false" outlineLevel="0" collapsed="false">
      <c r="A272" s="2" t="n">
        <v>45683</v>
      </c>
      <c r="B272" s="3" t="n">
        <f aca="false">B271+E271</f>
        <v>164784.246575345</v>
      </c>
      <c r="C272" s="4"/>
      <c r="D272" s="3" t="n">
        <f aca="false">D271-C272</f>
        <v>115000</v>
      </c>
      <c r="E272" s="4" t="n">
        <f aca="false">D272*15%/365</f>
        <v>47.2602739726027</v>
      </c>
      <c r="F272" s="3" t="n">
        <f aca="false">F271+E272</f>
        <v>14831.5068493151</v>
      </c>
      <c r="G272" s="4"/>
    </row>
    <row r="273" customFormat="false" ht="15" hidden="false" customHeight="false" outlineLevel="0" collapsed="false">
      <c r="A273" s="2" t="n">
        <v>45684</v>
      </c>
      <c r="B273" s="3" t="n">
        <f aca="false">B272+E272</f>
        <v>164831.506849317</v>
      </c>
      <c r="C273" s="4"/>
      <c r="D273" s="3" t="n">
        <f aca="false">D272-C273</f>
        <v>115000</v>
      </c>
      <c r="E273" s="4" t="n">
        <f aca="false">D273*15%/365</f>
        <v>47.2602739726027</v>
      </c>
      <c r="F273" s="3" t="n">
        <f aca="false">F272+E273</f>
        <v>14878.7671232877</v>
      </c>
      <c r="G273" s="4"/>
    </row>
    <row r="274" customFormat="false" ht="15" hidden="false" customHeight="false" outlineLevel="0" collapsed="false">
      <c r="A274" s="2" t="n">
        <v>45685</v>
      </c>
      <c r="B274" s="3" t="n">
        <f aca="false">B273+E273</f>
        <v>164878.76712329</v>
      </c>
      <c r="C274" s="4"/>
      <c r="D274" s="3" t="n">
        <f aca="false">D273-C274</f>
        <v>115000</v>
      </c>
      <c r="E274" s="4" t="n">
        <f aca="false">D274*15%/365</f>
        <v>47.2602739726027</v>
      </c>
      <c r="F274" s="3" t="n">
        <f aca="false">F273+E274</f>
        <v>14926.0273972603</v>
      </c>
      <c r="G274" s="4"/>
    </row>
    <row r="275" customFormat="false" ht="15" hidden="false" customHeight="false" outlineLevel="0" collapsed="false">
      <c r="A275" s="2" t="n">
        <v>45686</v>
      </c>
      <c r="B275" s="3" t="n">
        <f aca="false">B274+E274</f>
        <v>164926.027397262</v>
      </c>
      <c r="C275" s="4"/>
      <c r="D275" s="3" t="n">
        <f aca="false">D274-C275</f>
        <v>115000</v>
      </c>
      <c r="E275" s="4" t="n">
        <f aca="false">D275*15%/365</f>
        <v>47.2602739726027</v>
      </c>
      <c r="F275" s="3" t="n">
        <f aca="false">F274+E275</f>
        <v>14973.2876712329</v>
      </c>
      <c r="G275" s="4"/>
    </row>
    <row r="276" customFormat="false" ht="15" hidden="false" customHeight="false" outlineLevel="0" collapsed="false">
      <c r="A276" s="2" t="n">
        <v>45687</v>
      </c>
      <c r="B276" s="3" t="n">
        <f aca="false">B275+E275</f>
        <v>164973.287671235</v>
      </c>
      <c r="C276" s="4"/>
      <c r="D276" s="3" t="n">
        <f aca="false">D275-C276</f>
        <v>115000</v>
      </c>
      <c r="E276" s="4" t="n">
        <f aca="false">D276*15%/365</f>
        <v>47.2602739726027</v>
      </c>
      <c r="F276" s="3" t="n">
        <f aca="false">F275+E276</f>
        <v>15020.5479452055</v>
      </c>
      <c r="G276" s="4"/>
    </row>
    <row r="277" customFormat="false" ht="15" hidden="false" customHeight="false" outlineLevel="0" collapsed="false">
      <c r="A277" s="2" t="n">
        <v>45688</v>
      </c>
      <c r="B277" s="3" t="n">
        <f aca="false">B276+E276</f>
        <v>165020.547945208</v>
      </c>
      <c r="C277" s="4"/>
      <c r="D277" s="3" t="n">
        <f aca="false">D276-C277</f>
        <v>115000</v>
      </c>
      <c r="E277" s="4" t="n">
        <f aca="false">D277*15%/365</f>
        <v>47.2602739726027</v>
      </c>
      <c r="F277" s="3" t="n">
        <f aca="false">F276+E277</f>
        <v>15067.8082191781</v>
      </c>
      <c r="G277" s="4"/>
    </row>
    <row r="278" customFormat="false" ht="15" hidden="false" customHeight="false" outlineLevel="0" collapsed="false">
      <c r="A278" s="2" t="n">
        <v>45689</v>
      </c>
      <c r="B278" s="3" t="n">
        <f aca="false">B277+E277</f>
        <v>165067.80821918</v>
      </c>
      <c r="C278" s="4"/>
      <c r="D278" s="3" t="n">
        <f aca="false">D277-C278</f>
        <v>115000</v>
      </c>
      <c r="E278" s="4" t="n">
        <f aca="false">D278*15%/365</f>
        <v>47.2602739726027</v>
      </c>
      <c r="F278" s="3" t="n">
        <f aca="false">F277+E278</f>
        <v>15115.0684931507</v>
      </c>
      <c r="G278" s="4"/>
    </row>
    <row r="279" customFormat="false" ht="15" hidden="false" customHeight="false" outlineLevel="0" collapsed="false">
      <c r="A279" s="2" t="n">
        <v>45690</v>
      </c>
      <c r="B279" s="3" t="n">
        <f aca="false">B278+E278</f>
        <v>165115.068493153</v>
      </c>
      <c r="C279" s="4"/>
      <c r="D279" s="3" t="n">
        <f aca="false">D278-C279</f>
        <v>115000</v>
      </c>
      <c r="E279" s="4" t="n">
        <f aca="false">D279*15%/365</f>
        <v>47.2602739726027</v>
      </c>
      <c r="F279" s="3" t="n">
        <f aca="false">F278+E279</f>
        <v>15162.3287671233</v>
      </c>
      <c r="G279" s="4"/>
    </row>
    <row r="280" customFormat="false" ht="15" hidden="false" customHeight="false" outlineLevel="0" collapsed="false">
      <c r="A280" s="2" t="n">
        <v>45691</v>
      </c>
      <c r="B280" s="3" t="n">
        <f aca="false">B279+E279</f>
        <v>165162.328767126</v>
      </c>
      <c r="C280" s="4"/>
      <c r="D280" s="3" t="n">
        <f aca="false">D279-C280</f>
        <v>115000</v>
      </c>
      <c r="E280" s="4" t="n">
        <f aca="false">D280*15%/365</f>
        <v>47.2602739726027</v>
      </c>
      <c r="F280" s="3" t="n">
        <f aca="false">F279+E280</f>
        <v>15209.5890410959</v>
      </c>
      <c r="G280" s="4"/>
    </row>
    <row r="281" customFormat="false" ht="15" hidden="false" customHeight="false" outlineLevel="0" collapsed="false">
      <c r="A281" s="2" t="n">
        <v>45692</v>
      </c>
      <c r="B281" s="3" t="n">
        <f aca="false">B280+E280</f>
        <v>165209.589041098</v>
      </c>
      <c r="C281" s="4"/>
      <c r="D281" s="3" t="n">
        <f aca="false">D280-C281</f>
        <v>115000</v>
      </c>
      <c r="E281" s="4" t="n">
        <f aca="false">D281*15%/365</f>
        <v>47.2602739726027</v>
      </c>
      <c r="F281" s="3" t="n">
        <f aca="false">F280+E281</f>
        <v>15256.8493150685</v>
      </c>
      <c r="G281" s="4"/>
    </row>
    <row r="282" customFormat="false" ht="15" hidden="false" customHeight="false" outlineLevel="0" collapsed="false">
      <c r="A282" s="2" t="n">
        <v>45693</v>
      </c>
      <c r="B282" s="3" t="n">
        <f aca="false">B281+E281</f>
        <v>165256.849315071</v>
      </c>
      <c r="C282" s="4"/>
      <c r="D282" s="3" t="n">
        <f aca="false">D281-C282</f>
        <v>115000</v>
      </c>
      <c r="E282" s="4" t="n">
        <f aca="false">D282*15%/365</f>
        <v>47.2602739726027</v>
      </c>
      <c r="F282" s="3" t="n">
        <f aca="false">F281+E282</f>
        <v>15304.1095890411</v>
      </c>
      <c r="G282" s="4"/>
    </row>
    <row r="283" customFormat="false" ht="15" hidden="false" customHeight="false" outlineLevel="0" collapsed="false">
      <c r="A283" s="2" t="n">
        <v>45694</v>
      </c>
      <c r="B283" s="3" t="n">
        <f aca="false">B282+E282</f>
        <v>165304.109589043</v>
      </c>
      <c r="C283" s="4"/>
      <c r="D283" s="3" t="n">
        <f aca="false">D282-C283</f>
        <v>115000</v>
      </c>
      <c r="E283" s="4" t="n">
        <f aca="false">D283*15%/365</f>
        <v>47.2602739726027</v>
      </c>
      <c r="F283" s="3" t="n">
        <f aca="false">F282+E283</f>
        <v>15351.3698630137</v>
      </c>
      <c r="G283" s="4"/>
    </row>
    <row r="284" customFormat="false" ht="15" hidden="false" customHeight="false" outlineLevel="0" collapsed="false">
      <c r="A284" s="2" t="n">
        <v>45695</v>
      </c>
      <c r="B284" s="3" t="n">
        <f aca="false">B283+E283</f>
        <v>165351.369863016</v>
      </c>
      <c r="C284" s="4"/>
      <c r="D284" s="3" t="n">
        <f aca="false">D283-C284</f>
        <v>115000</v>
      </c>
      <c r="E284" s="4" t="n">
        <f aca="false">D284*15%/365</f>
        <v>47.2602739726027</v>
      </c>
      <c r="F284" s="3" t="n">
        <f aca="false">F283+E284</f>
        <v>15398.6301369863</v>
      </c>
      <c r="G284" s="4"/>
    </row>
    <row r="285" customFormat="false" ht="15" hidden="false" customHeight="false" outlineLevel="0" collapsed="false">
      <c r="A285" s="2" t="n">
        <v>45696</v>
      </c>
      <c r="B285" s="3" t="n">
        <f aca="false">B284+E284</f>
        <v>165398.630136989</v>
      </c>
      <c r="C285" s="4"/>
      <c r="D285" s="3" t="n">
        <f aca="false">D284-C285</f>
        <v>115000</v>
      </c>
      <c r="E285" s="4" t="n">
        <f aca="false">D285*15%/365</f>
        <v>47.2602739726027</v>
      </c>
      <c r="F285" s="3" t="n">
        <f aca="false">F284+E285</f>
        <v>15445.8904109589</v>
      </c>
      <c r="G285" s="4"/>
    </row>
    <row r="286" customFormat="false" ht="15" hidden="false" customHeight="false" outlineLevel="0" collapsed="false">
      <c r="A286" s="2" t="n">
        <v>45697</v>
      </c>
      <c r="B286" s="3" t="n">
        <f aca="false">B285+E285</f>
        <v>165445.890410961</v>
      </c>
      <c r="C286" s="4"/>
      <c r="D286" s="3" t="n">
        <f aca="false">D285-C286</f>
        <v>115000</v>
      </c>
      <c r="E286" s="4" t="n">
        <f aca="false">D286*15%/365</f>
        <v>47.2602739726027</v>
      </c>
      <c r="F286" s="3" t="n">
        <f aca="false">F285+E286</f>
        <v>15493.1506849315</v>
      </c>
      <c r="G286" s="4"/>
    </row>
    <row r="287" customFormat="false" ht="15" hidden="false" customHeight="false" outlineLevel="0" collapsed="false">
      <c r="A287" s="2" t="n">
        <v>45698</v>
      </c>
      <c r="B287" s="3" t="n">
        <f aca="false">B286+E286</f>
        <v>165493.150684934</v>
      </c>
      <c r="C287" s="4"/>
      <c r="D287" s="3" t="n">
        <f aca="false">D286-C287</f>
        <v>115000</v>
      </c>
      <c r="E287" s="4" t="n">
        <f aca="false">D287*15%/365</f>
        <v>47.2602739726027</v>
      </c>
      <c r="F287" s="3" t="n">
        <f aca="false">F286+E287</f>
        <v>15540.4109589041</v>
      </c>
      <c r="G287" s="4"/>
    </row>
    <row r="288" customFormat="false" ht="15" hidden="false" customHeight="false" outlineLevel="0" collapsed="false">
      <c r="A288" s="2" t="n">
        <v>45699</v>
      </c>
      <c r="B288" s="3" t="n">
        <f aca="false">B287+E287</f>
        <v>165540.410958906</v>
      </c>
      <c r="C288" s="4"/>
      <c r="D288" s="3" t="n">
        <f aca="false">D287-C288</f>
        <v>115000</v>
      </c>
      <c r="E288" s="4" t="n">
        <f aca="false">D288*15%/365</f>
        <v>47.2602739726027</v>
      </c>
      <c r="F288" s="3" t="n">
        <f aca="false">F287+E288</f>
        <v>15587.6712328767</v>
      </c>
      <c r="G288" s="4"/>
    </row>
    <row r="289" customFormat="false" ht="15" hidden="false" customHeight="false" outlineLevel="0" collapsed="false">
      <c r="A289" s="2" t="n">
        <v>45700</v>
      </c>
      <c r="B289" s="3" t="n">
        <f aca="false">B288+E288</f>
        <v>165587.671232879</v>
      </c>
      <c r="C289" s="4"/>
      <c r="D289" s="3" t="n">
        <f aca="false">D288-C289</f>
        <v>115000</v>
      </c>
      <c r="E289" s="4" t="n">
        <f aca="false">D289*15%/365</f>
        <v>47.2602739726027</v>
      </c>
      <c r="F289" s="3" t="n">
        <f aca="false">F288+E289</f>
        <v>15634.9315068493</v>
      </c>
      <c r="G289" s="4"/>
    </row>
    <row r="290" customFormat="false" ht="15" hidden="false" customHeight="false" outlineLevel="0" collapsed="false">
      <c r="A290" s="2" t="n">
        <v>45701</v>
      </c>
      <c r="B290" s="3" t="n">
        <f aca="false">B289+E289</f>
        <v>165634.931506852</v>
      </c>
      <c r="C290" s="4"/>
      <c r="D290" s="3" t="n">
        <f aca="false">D289-C290</f>
        <v>115000</v>
      </c>
      <c r="E290" s="4" t="n">
        <f aca="false">D290*15%/365</f>
        <v>47.2602739726027</v>
      </c>
      <c r="F290" s="3" t="n">
        <f aca="false">F289+E290</f>
        <v>15682.1917808219</v>
      </c>
      <c r="G290" s="4"/>
    </row>
    <row r="291" customFormat="false" ht="15" hidden="false" customHeight="false" outlineLevel="0" collapsed="false">
      <c r="A291" s="2" t="n">
        <v>45702</v>
      </c>
      <c r="B291" s="3" t="n">
        <f aca="false">B290+E290</f>
        <v>165682.191780824</v>
      </c>
      <c r="C291" s="4"/>
      <c r="D291" s="3" t="n">
        <f aca="false">D290-C291</f>
        <v>115000</v>
      </c>
      <c r="E291" s="4" t="n">
        <f aca="false">D291*15%/365</f>
        <v>47.2602739726027</v>
      </c>
      <c r="F291" s="3" t="n">
        <f aca="false">F290+E291</f>
        <v>15729.4520547945</v>
      </c>
      <c r="G291" s="4"/>
    </row>
    <row r="292" customFormat="false" ht="15" hidden="false" customHeight="false" outlineLevel="0" collapsed="false">
      <c r="A292" s="2" t="n">
        <v>45703</v>
      </c>
      <c r="B292" s="3" t="n">
        <f aca="false">B291+E291</f>
        <v>165729.452054797</v>
      </c>
      <c r="C292" s="4"/>
      <c r="D292" s="3" t="n">
        <f aca="false">D291-C292</f>
        <v>115000</v>
      </c>
      <c r="E292" s="4" t="n">
        <f aca="false">D292*15%/365</f>
        <v>47.2602739726027</v>
      </c>
      <c r="F292" s="3" t="n">
        <f aca="false">F291+E292</f>
        <v>15776.7123287671</v>
      </c>
      <c r="G292" s="4"/>
    </row>
    <row r="293" customFormat="false" ht="15" hidden="false" customHeight="false" outlineLevel="0" collapsed="false">
      <c r="A293" s="2" t="n">
        <v>45704</v>
      </c>
      <c r="B293" s="3" t="n">
        <f aca="false">B292+E292</f>
        <v>165776.712328769</v>
      </c>
      <c r="C293" s="4"/>
      <c r="D293" s="3" t="n">
        <f aca="false">D292-C293</f>
        <v>115000</v>
      </c>
      <c r="E293" s="4" t="n">
        <f aca="false">D293*15%/365</f>
        <v>47.2602739726027</v>
      </c>
      <c r="F293" s="3" t="n">
        <f aca="false">F292+E293</f>
        <v>15823.9726027397</v>
      </c>
      <c r="G293" s="4"/>
    </row>
    <row r="294" customFormat="false" ht="15" hidden="false" customHeight="false" outlineLevel="0" collapsed="false">
      <c r="A294" s="2" t="n">
        <v>45705</v>
      </c>
      <c r="B294" s="3" t="n">
        <f aca="false">B293+E293</f>
        <v>165823.972602742</v>
      </c>
      <c r="C294" s="4"/>
      <c r="D294" s="3" t="n">
        <f aca="false">D293-C294</f>
        <v>115000</v>
      </c>
      <c r="E294" s="4" t="n">
        <f aca="false">D294*15%/365</f>
        <v>47.2602739726027</v>
      </c>
      <c r="F294" s="3" t="n">
        <f aca="false">F293+E294</f>
        <v>15871.2328767123</v>
      </c>
      <c r="G294" s="4"/>
    </row>
    <row r="295" customFormat="false" ht="15" hidden="false" customHeight="false" outlineLevel="0" collapsed="false">
      <c r="A295" s="2" t="n">
        <v>45706</v>
      </c>
      <c r="B295" s="3" t="n">
        <f aca="false">B294+E294</f>
        <v>165871.232876715</v>
      </c>
      <c r="C295" s="4"/>
      <c r="D295" s="3" t="n">
        <f aca="false">D294-C295</f>
        <v>115000</v>
      </c>
      <c r="E295" s="4" t="n">
        <f aca="false">D295*15%/365</f>
        <v>47.2602739726027</v>
      </c>
      <c r="F295" s="3" t="n">
        <f aca="false">F294+E295</f>
        <v>15918.4931506849</v>
      </c>
      <c r="G295" s="4"/>
    </row>
    <row r="296" customFormat="false" ht="15" hidden="false" customHeight="false" outlineLevel="0" collapsed="false">
      <c r="A296" s="2" t="n">
        <v>45707</v>
      </c>
      <c r="B296" s="3" t="n">
        <f aca="false">B295+E295</f>
        <v>165918.493150687</v>
      </c>
      <c r="C296" s="4"/>
      <c r="D296" s="3" t="n">
        <f aca="false">D295-C296</f>
        <v>115000</v>
      </c>
      <c r="E296" s="4" t="n">
        <f aca="false">D296*15%/365</f>
        <v>47.2602739726027</v>
      </c>
      <c r="F296" s="3" t="n">
        <f aca="false">F295+E296</f>
        <v>15965.7534246575</v>
      </c>
      <c r="G296" s="4"/>
    </row>
    <row r="297" customFormat="false" ht="15" hidden="false" customHeight="false" outlineLevel="0" collapsed="false">
      <c r="A297" s="2" t="n">
        <v>45708</v>
      </c>
      <c r="B297" s="3" t="n">
        <f aca="false">B296+E296</f>
        <v>165965.75342466</v>
      </c>
      <c r="C297" s="4"/>
      <c r="D297" s="3" t="n">
        <f aca="false">D296-C297</f>
        <v>115000</v>
      </c>
      <c r="E297" s="4" t="n">
        <f aca="false">D297*15%/365</f>
        <v>47.2602739726027</v>
      </c>
      <c r="F297" s="3" t="n">
        <f aca="false">F296+E297</f>
        <v>16013.0136986301</v>
      </c>
      <c r="G297" s="4"/>
    </row>
    <row r="298" customFormat="false" ht="15" hidden="false" customHeight="false" outlineLevel="0" collapsed="false">
      <c r="A298" s="2" t="n">
        <v>45709</v>
      </c>
      <c r="B298" s="3" t="n">
        <f aca="false">B297+E297</f>
        <v>166013.013698633</v>
      </c>
      <c r="C298" s="4"/>
      <c r="D298" s="3" t="n">
        <f aca="false">D297-C298</f>
        <v>115000</v>
      </c>
      <c r="E298" s="4" t="n">
        <f aca="false">D298*15%/365</f>
        <v>47.2602739726027</v>
      </c>
      <c r="F298" s="3" t="n">
        <f aca="false">F297+E298</f>
        <v>16060.2739726027</v>
      </c>
      <c r="G298" s="4"/>
    </row>
    <row r="299" customFormat="false" ht="15" hidden="false" customHeight="false" outlineLevel="0" collapsed="false">
      <c r="A299" s="2" t="n">
        <v>45710</v>
      </c>
      <c r="B299" s="3" t="n">
        <f aca="false">B298+E298</f>
        <v>166060.273972605</v>
      </c>
      <c r="C299" s="4"/>
      <c r="D299" s="3" t="n">
        <f aca="false">D298-C299</f>
        <v>115000</v>
      </c>
      <c r="E299" s="4" t="n">
        <f aca="false">D299*15%/365</f>
        <v>47.2602739726027</v>
      </c>
      <c r="F299" s="3" t="n">
        <f aca="false">F298+E299</f>
        <v>16107.5342465753</v>
      </c>
      <c r="G299" s="4"/>
    </row>
    <row r="300" customFormat="false" ht="15" hidden="false" customHeight="false" outlineLevel="0" collapsed="false">
      <c r="A300" s="2" t="n">
        <v>45711</v>
      </c>
      <c r="B300" s="3" t="n">
        <f aca="false">B299+E299</f>
        <v>166107.534246578</v>
      </c>
      <c r="C300" s="4"/>
      <c r="D300" s="3" t="n">
        <f aca="false">D299-C300</f>
        <v>115000</v>
      </c>
      <c r="E300" s="4" t="n">
        <f aca="false">D300*15%/365</f>
        <v>47.2602739726027</v>
      </c>
      <c r="F300" s="3" t="n">
        <f aca="false">F299+E300</f>
        <v>16154.7945205479</v>
      </c>
      <c r="G300" s="4"/>
    </row>
    <row r="301" customFormat="false" ht="15" hidden="false" customHeight="false" outlineLevel="0" collapsed="false">
      <c r="A301" s="2" t="n">
        <v>45712</v>
      </c>
      <c r="B301" s="3" t="n">
        <f aca="false">B300+E300</f>
        <v>166154.79452055</v>
      </c>
      <c r="C301" s="4"/>
      <c r="D301" s="3" t="n">
        <f aca="false">D300-C301</f>
        <v>115000</v>
      </c>
      <c r="E301" s="4" t="n">
        <f aca="false">D301*15%/365</f>
        <v>47.2602739726027</v>
      </c>
      <c r="F301" s="3" t="n">
        <f aca="false">F300+E301</f>
        <v>16202.0547945205</v>
      </c>
      <c r="G301" s="4"/>
    </row>
    <row r="302" customFormat="false" ht="15" hidden="false" customHeight="false" outlineLevel="0" collapsed="false">
      <c r="A302" s="2" t="n">
        <v>45713</v>
      </c>
      <c r="B302" s="3" t="n">
        <f aca="false">B301+E301</f>
        <v>166202.054794523</v>
      </c>
      <c r="C302" s="4"/>
      <c r="D302" s="3" t="n">
        <f aca="false">D301-C302</f>
        <v>115000</v>
      </c>
      <c r="E302" s="4" t="n">
        <f aca="false">D302*15%/365</f>
        <v>47.2602739726027</v>
      </c>
      <c r="F302" s="3" t="n">
        <f aca="false">F301+E302</f>
        <v>16249.3150684931</v>
      </c>
      <c r="G302" s="4"/>
    </row>
    <row r="303" customFormat="false" ht="15" hidden="false" customHeight="false" outlineLevel="0" collapsed="false">
      <c r="A303" s="2" t="n">
        <v>45714</v>
      </c>
      <c r="B303" s="3" t="n">
        <f aca="false">B302+E302</f>
        <v>166249.315068496</v>
      </c>
      <c r="C303" s="4"/>
      <c r="D303" s="3" t="n">
        <f aca="false">D302-C303</f>
        <v>115000</v>
      </c>
      <c r="E303" s="4" t="n">
        <f aca="false">D303*15%/365</f>
        <v>47.2602739726027</v>
      </c>
      <c r="F303" s="3" t="n">
        <f aca="false">F302+E303</f>
        <v>16296.5753424657</v>
      </c>
      <c r="G303" s="4"/>
    </row>
    <row r="304" customFormat="false" ht="15" hidden="false" customHeight="false" outlineLevel="0" collapsed="false">
      <c r="A304" s="2" t="n">
        <v>45715</v>
      </c>
      <c r="B304" s="3" t="n">
        <f aca="false">B303+E303</f>
        <v>166296.575342468</v>
      </c>
      <c r="C304" s="4"/>
      <c r="D304" s="3" t="n">
        <f aca="false">D303-C304</f>
        <v>115000</v>
      </c>
      <c r="E304" s="4" t="n">
        <f aca="false">D304*15%/365</f>
        <v>47.2602739726027</v>
      </c>
      <c r="F304" s="3" t="n">
        <f aca="false">F303+E304</f>
        <v>16343.8356164383</v>
      </c>
      <c r="G304" s="4"/>
    </row>
    <row r="305" customFormat="false" ht="15" hidden="false" customHeight="false" outlineLevel="0" collapsed="false">
      <c r="A305" s="2" t="n">
        <v>45716</v>
      </c>
      <c r="B305" s="3" t="n">
        <f aca="false">B304+E304</f>
        <v>166343.835616441</v>
      </c>
      <c r="C305" s="4"/>
      <c r="D305" s="3" t="n">
        <f aca="false">D304-C305</f>
        <v>115000</v>
      </c>
      <c r="E305" s="4" t="n">
        <f aca="false">D305*15%/365</f>
        <v>47.2602739726027</v>
      </c>
      <c r="F305" s="3" t="n">
        <f aca="false">F304+E305</f>
        <v>16391.0958904109</v>
      </c>
      <c r="G305" s="4"/>
    </row>
    <row r="306" customFormat="false" ht="15" hidden="false" customHeight="false" outlineLevel="0" collapsed="false">
      <c r="A306" s="2" t="n">
        <v>45717</v>
      </c>
      <c r="B306" s="3" t="n">
        <f aca="false">B305+E305</f>
        <v>166391.095890413</v>
      </c>
      <c r="C306" s="4"/>
      <c r="D306" s="3" t="n">
        <f aca="false">D305-C306</f>
        <v>115000</v>
      </c>
      <c r="E306" s="4" t="n">
        <f aca="false">D306*15%/365</f>
        <v>47.2602739726027</v>
      </c>
      <c r="F306" s="3" t="n">
        <f aca="false">F305+E306</f>
        <v>16438.3561643836</v>
      </c>
      <c r="G306" s="4"/>
    </row>
    <row r="307" customFormat="false" ht="15" hidden="false" customHeight="false" outlineLevel="0" collapsed="false">
      <c r="A307" s="2" t="n">
        <v>45718</v>
      </c>
      <c r="B307" s="3" t="n">
        <f aca="false">B306+E306</f>
        <v>166438.356164386</v>
      </c>
      <c r="C307" s="4"/>
      <c r="D307" s="3" t="n">
        <f aca="false">D306-C307</f>
        <v>115000</v>
      </c>
      <c r="E307" s="4" t="n">
        <f aca="false">D307*15%/365</f>
        <v>47.2602739726027</v>
      </c>
      <c r="F307" s="3" t="n">
        <f aca="false">F306+E307</f>
        <v>16485.6164383562</v>
      </c>
      <c r="G307" s="4"/>
    </row>
    <row r="308" customFormat="false" ht="15" hidden="false" customHeight="false" outlineLevel="0" collapsed="false">
      <c r="A308" s="2" t="n">
        <v>45719</v>
      </c>
      <c r="B308" s="3" t="n">
        <f aca="false">B307+E307</f>
        <v>166485.616438359</v>
      </c>
      <c r="C308" s="4"/>
      <c r="D308" s="3" t="n">
        <f aca="false">D307-C308</f>
        <v>115000</v>
      </c>
      <c r="E308" s="4" t="n">
        <f aca="false">D308*15%/365</f>
        <v>47.2602739726027</v>
      </c>
      <c r="F308" s="3" t="n">
        <f aca="false">F307+E308</f>
        <v>16532.8767123288</v>
      </c>
      <c r="G308" s="4"/>
    </row>
    <row r="309" customFormat="false" ht="15" hidden="false" customHeight="false" outlineLevel="0" collapsed="false">
      <c r="A309" s="2" t="n">
        <v>45720</v>
      </c>
      <c r="B309" s="3" t="n">
        <f aca="false">B308+E308</f>
        <v>166532.876712331</v>
      </c>
      <c r="C309" s="4"/>
      <c r="D309" s="3" t="n">
        <f aca="false">D308-C309</f>
        <v>115000</v>
      </c>
      <c r="E309" s="4" t="n">
        <f aca="false">D309*15%/365</f>
        <v>47.2602739726027</v>
      </c>
      <c r="F309" s="3" t="n">
        <f aca="false">F308+E309</f>
        <v>16580.1369863014</v>
      </c>
      <c r="G309" s="4"/>
    </row>
    <row r="310" customFormat="false" ht="15" hidden="false" customHeight="false" outlineLevel="0" collapsed="false">
      <c r="A310" s="2" t="n">
        <v>45721</v>
      </c>
      <c r="B310" s="3" t="n">
        <f aca="false">B309+E309</f>
        <v>166580.136986304</v>
      </c>
      <c r="C310" s="4"/>
      <c r="D310" s="3" t="n">
        <f aca="false">D309-C310</f>
        <v>115000</v>
      </c>
      <c r="E310" s="4" t="n">
        <f aca="false">D310*15%/365</f>
        <v>47.2602739726027</v>
      </c>
      <c r="F310" s="3" t="n">
        <f aca="false">F309+E310</f>
        <v>16627.397260274</v>
      </c>
      <c r="G310" s="4"/>
    </row>
    <row r="311" customFormat="false" ht="15" hidden="false" customHeight="false" outlineLevel="0" collapsed="false">
      <c r="A311" s="2" t="n">
        <v>45722</v>
      </c>
      <c r="B311" s="3" t="n">
        <f aca="false">B310+E310</f>
        <v>166627.397260277</v>
      </c>
      <c r="C311" s="4"/>
      <c r="D311" s="3" t="n">
        <f aca="false">D310-C311</f>
        <v>115000</v>
      </c>
      <c r="E311" s="4" t="n">
        <f aca="false">D311*15%/365</f>
        <v>47.2602739726027</v>
      </c>
      <c r="F311" s="3" t="n">
        <f aca="false">F310+E311</f>
        <v>16674.6575342466</v>
      </c>
      <c r="G311" s="4"/>
    </row>
    <row r="312" customFormat="false" ht="15" hidden="false" customHeight="false" outlineLevel="0" collapsed="false">
      <c r="A312" s="2" t="n">
        <v>45723</v>
      </c>
      <c r="B312" s="3" t="n">
        <f aca="false">B311+E311</f>
        <v>166674.657534249</v>
      </c>
      <c r="C312" s="4"/>
      <c r="D312" s="3" t="n">
        <f aca="false">D311-C312</f>
        <v>115000</v>
      </c>
      <c r="E312" s="4" t="n">
        <f aca="false">D312*15%/365</f>
        <v>47.2602739726027</v>
      </c>
      <c r="F312" s="3" t="n">
        <f aca="false">F311+E312</f>
        <v>16721.9178082192</v>
      </c>
      <c r="G312" s="4"/>
    </row>
    <row r="313" customFormat="false" ht="15" hidden="false" customHeight="false" outlineLevel="0" collapsed="false">
      <c r="A313" s="2" t="n">
        <v>45724</v>
      </c>
      <c r="B313" s="3" t="n">
        <f aca="false">B312+E312</f>
        <v>166721.917808222</v>
      </c>
      <c r="C313" s="4"/>
      <c r="D313" s="3" t="n">
        <f aca="false">D312-C313</f>
        <v>115000</v>
      </c>
      <c r="E313" s="4" t="n">
        <f aca="false">D313*15%/365</f>
        <v>47.2602739726027</v>
      </c>
      <c r="F313" s="3" t="n">
        <f aca="false">F312+E313</f>
        <v>16769.1780821918</v>
      </c>
      <c r="G313" s="4"/>
    </row>
    <row r="314" customFormat="false" ht="15" hidden="false" customHeight="false" outlineLevel="0" collapsed="false">
      <c r="A314" s="2" t="n">
        <v>45725</v>
      </c>
      <c r="B314" s="3" t="n">
        <f aca="false">B313+E313</f>
        <v>166769.178082194</v>
      </c>
      <c r="C314" s="4"/>
      <c r="D314" s="3" t="n">
        <f aca="false">D313-C314</f>
        <v>115000</v>
      </c>
      <c r="E314" s="4" t="n">
        <f aca="false">D314*15%/365</f>
        <v>47.2602739726027</v>
      </c>
      <c r="F314" s="3" t="n">
        <f aca="false">F313+E314</f>
        <v>16816.4383561644</v>
      </c>
      <c r="G314" s="4"/>
    </row>
    <row r="315" customFormat="false" ht="15" hidden="false" customHeight="false" outlineLevel="0" collapsed="false">
      <c r="A315" s="2" t="n">
        <v>45726</v>
      </c>
      <c r="B315" s="3" t="n">
        <f aca="false">B314+E314</f>
        <v>166816.438356167</v>
      </c>
      <c r="C315" s="4"/>
      <c r="D315" s="3" t="n">
        <f aca="false">D314-C315</f>
        <v>115000</v>
      </c>
      <c r="E315" s="4" t="n">
        <f aca="false">D315*15%/365</f>
        <v>47.2602739726027</v>
      </c>
      <c r="F315" s="3" t="n">
        <f aca="false">F314+E315</f>
        <v>16863.698630137</v>
      </c>
      <c r="G315" s="4"/>
    </row>
    <row r="316" customFormat="false" ht="15" hidden="false" customHeight="false" outlineLevel="0" collapsed="false">
      <c r="A316" s="2" t="n">
        <v>45727</v>
      </c>
      <c r="B316" s="3" t="n">
        <f aca="false">B315+E315</f>
        <v>166863.69863014</v>
      </c>
      <c r="C316" s="4"/>
      <c r="D316" s="3" t="n">
        <f aca="false">D315-C316</f>
        <v>115000</v>
      </c>
      <c r="E316" s="4" t="n">
        <f aca="false">D316*15%/365</f>
        <v>47.2602739726027</v>
      </c>
      <c r="F316" s="3" t="n">
        <f aca="false">F315+E316</f>
        <v>16910.9589041096</v>
      </c>
      <c r="G316" s="4"/>
    </row>
    <row r="317" customFormat="false" ht="15" hidden="false" customHeight="false" outlineLevel="0" collapsed="false">
      <c r="A317" s="2" t="n">
        <v>45728</v>
      </c>
      <c r="B317" s="3" t="n">
        <f aca="false">B316+E316</f>
        <v>166910.958904112</v>
      </c>
      <c r="C317" s="4"/>
      <c r="D317" s="3" t="n">
        <f aca="false">D316-C317</f>
        <v>115000</v>
      </c>
      <c r="E317" s="4" t="n">
        <f aca="false">D317*15%/365</f>
        <v>47.2602739726027</v>
      </c>
      <c r="F317" s="3" t="n">
        <f aca="false">F316+E317</f>
        <v>16958.2191780822</v>
      </c>
      <c r="G317" s="4"/>
    </row>
    <row r="318" customFormat="false" ht="15" hidden="false" customHeight="false" outlineLevel="0" collapsed="false">
      <c r="A318" s="2" t="n">
        <v>45729</v>
      </c>
      <c r="B318" s="3" t="n">
        <f aca="false">B317+E317</f>
        <v>166958.219178085</v>
      </c>
      <c r="C318" s="4"/>
      <c r="D318" s="3" t="n">
        <f aca="false">D317-C318</f>
        <v>115000</v>
      </c>
      <c r="E318" s="4" t="n">
        <f aca="false">D318*15%/365</f>
        <v>47.2602739726027</v>
      </c>
      <c r="F318" s="3" t="n">
        <f aca="false">F317+E318</f>
        <v>17005.4794520548</v>
      </c>
      <c r="G318" s="4"/>
    </row>
    <row r="319" customFormat="false" ht="15" hidden="false" customHeight="false" outlineLevel="0" collapsed="false">
      <c r="A319" s="2" t="n">
        <v>45730</v>
      </c>
      <c r="B319" s="3" t="n">
        <f aca="false">B318+E318</f>
        <v>167005.479452057</v>
      </c>
      <c r="C319" s="4"/>
      <c r="D319" s="3" t="n">
        <f aca="false">D318-C319</f>
        <v>115000</v>
      </c>
      <c r="E319" s="4" t="n">
        <f aca="false">D319*15%/365</f>
        <v>47.2602739726027</v>
      </c>
      <c r="F319" s="3" t="n">
        <f aca="false">F318+E319</f>
        <v>17052.7397260274</v>
      </c>
      <c r="G319" s="4"/>
    </row>
    <row r="320" customFormat="false" ht="15" hidden="false" customHeight="false" outlineLevel="0" collapsed="false">
      <c r="A320" s="2" t="n">
        <v>45731</v>
      </c>
      <c r="B320" s="3" t="n">
        <f aca="false">B319+E319</f>
        <v>167052.73972603</v>
      </c>
      <c r="C320" s="4"/>
      <c r="D320" s="3" t="n">
        <f aca="false">D319-C320</f>
        <v>115000</v>
      </c>
      <c r="E320" s="4" t="n">
        <f aca="false">D320*15%/365</f>
        <v>47.2602739726027</v>
      </c>
      <c r="F320" s="3" t="n">
        <f aca="false">F319+E320</f>
        <v>17100</v>
      </c>
      <c r="G320" s="4"/>
    </row>
    <row r="321" customFormat="false" ht="15" hidden="false" customHeight="false" outlineLevel="0" collapsed="false">
      <c r="A321" s="2" t="n">
        <v>45732</v>
      </c>
      <c r="B321" s="3" t="n">
        <f aca="false">B320+E320</f>
        <v>167100.000000003</v>
      </c>
      <c r="C321" s="4"/>
      <c r="D321" s="3" t="n">
        <f aca="false">D320-C321</f>
        <v>115000</v>
      </c>
      <c r="E321" s="4" t="n">
        <f aca="false">D321*15%/365</f>
        <v>47.2602739726027</v>
      </c>
      <c r="F321" s="3" t="n">
        <f aca="false">F320+E321</f>
        <v>17147.2602739726</v>
      </c>
      <c r="G321" s="4"/>
    </row>
    <row r="322" customFormat="false" ht="15" hidden="false" customHeight="false" outlineLevel="0" collapsed="false">
      <c r="A322" s="2" t="n">
        <v>45733</v>
      </c>
      <c r="B322" s="3" t="n">
        <f aca="false">B321+E321</f>
        <v>167147.260273975</v>
      </c>
      <c r="C322" s="4"/>
      <c r="D322" s="3" t="n">
        <f aca="false">D321-C322</f>
        <v>115000</v>
      </c>
      <c r="E322" s="4" t="n">
        <f aca="false">D322*15%/365</f>
        <v>47.2602739726027</v>
      </c>
      <c r="F322" s="3" t="n">
        <f aca="false">F321+E322</f>
        <v>17194.5205479452</v>
      </c>
      <c r="G322" s="4"/>
    </row>
    <row r="323" customFormat="false" ht="15" hidden="false" customHeight="false" outlineLevel="0" collapsed="false">
      <c r="A323" s="2" t="n">
        <v>45734</v>
      </c>
      <c r="B323" s="3" t="n">
        <f aca="false">B322+E322</f>
        <v>167194.520547948</v>
      </c>
      <c r="C323" s="4"/>
      <c r="D323" s="3" t="n">
        <f aca="false">D322-C323</f>
        <v>115000</v>
      </c>
      <c r="E323" s="4" t="n">
        <f aca="false">D323*15%/365</f>
        <v>47.2602739726027</v>
      </c>
      <c r="F323" s="3" t="n">
        <f aca="false">F322+E323</f>
        <v>17241.7808219178</v>
      </c>
      <c r="G323" s="4"/>
    </row>
    <row r="324" customFormat="false" ht="15" hidden="false" customHeight="false" outlineLevel="0" collapsed="false">
      <c r="A324" s="2" t="n">
        <v>45735</v>
      </c>
      <c r="B324" s="3" t="n">
        <f aca="false">B323+E323</f>
        <v>167241.780821921</v>
      </c>
      <c r="C324" s="4"/>
      <c r="D324" s="3" t="n">
        <f aca="false">D323-C324</f>
        <v>115000</v>
      </c>
      <c r="E324" s="4" t="n">
        <f aca="false">D324*15%/365</f>
        <v>47.2602739726027</v>
      </c>
      <c r="F324" s="3" t="n">
        <f aca="false">F323+E324</f>
        <v>17289.0410958904</v>
      </c>
      <c r="G324" s="4"/>
    </row>
    <row r="325" customFormat="false" ht="15" hidden="false" customHeight="false" outlineLevel="0" collapsed="false">
      <c r="A325" s="2" t="n">
        <v>45736</v>
      </c>
      <c r="B325" s="3" t="n">
        <f aca="false">B324+E324</f>
        <v>167289.041095893</v>
      </c>
      <c r="C325" s="4"/>
      <c r="D325" s="3" t="n">
        <f aca="false">D324-C325</f>
        <v>115000</v>
      </c>
      <c r="E325" s="4" t="n">
        <f aca="false">D325*15%/365</f>
        <v>47.2602739726027</v>
      </c>
      <c r="F325" s="3" t="n">
        <f aca="false">F324+E325</f>
        <v>17336.301369863</v>
      </c>
      <c r="G325" s="4"/>
    </row>
    <row r="326" customFormat="false" ht="15" hidden="false" customHeight="false" outlineLevel="0" collapsed="false">
      <c r="A326" s="2" t="n">
        <v>45737</v>
      </c>
      <c r="B326" s="3" t="n">
        <f aca="false">B325+E325</f>
        <v>167336.301369866</v>
      </c>
      <c r="C326" s="4"/>
      <c r="D326" s="3" t="n">
        <f aca="false">D325-C326</f>
        <v>115000</v>
      </c>
      <c r="E326" s="4" t="n">
        <f aca="false">D326*15%/365</f>
        <v>47.2602739726027</v>
      </c>
      <c r="F326" s="3" t="n">
        <f aca="false">F325+E326</f>
        <v>17383.5616438356</v>
      </c>
      <c r="G326" s="4"/>
    </row>
    <row r="327" customFormat="false" ht="15" hidden="false" customHeight="false" outlineLevel="0" collapsed="false">
      <c r="A327" s="2" t="n">
        <v>45738</v>
      </c>
      <c r="B327" s="3" t="n">
        <f aca="false">B326+E326</f>
        <v>167383.561643838</v>
      </c>
      <c r="C327" s="4"/>
      <c r="D327" s="3" t="n">
        <f aca="false">D326-C327</f>
        <v>115000</v>
      </c>
      <c r="E327" s="4" t="n">
        <f aca="false">D327*15%/365</f>
        <v>47.2602739726027</v>
      </c>
      <c r="F327" s="3" t="n">
        <f aca="false">F326+E327</f>
        <v>17430.8219178082</v>
      </c>
      <c r="G327" s="4"/>
    </row>
    <row r="328" customFormat="false" ht="15" hidden="false" customHeight="false" outlineLevel="0" collapsed="false">
      <c r="A328" s="2" t="n">
        <v>45739</v>
      </c>
      <c r="B328" s="3" t="n">
        <f aca="false">B327+E327</f>
        <v>167430.821917811</v>
      </c>
      <c r="C328" s="4"/>
      <c r="D328" s="3" t="n">
        <f aca="false">D327-C328</f>
        <v>115000</v>
      </c>
      <c r="E328" s="4" t="n">
        <f aca="false">D328*15%/365</f>
        <v>47.2602739726027</v>
      </c>
      <c r="F328" s="3" t="n">
        <f aca="false">F327+E328</f>
        <v>17478.0821917808</v>
      </c>
      <c r="G328" s="4"/>
    </row>
    <row r="329" customFormat="false" ht="15" hidden="false" customHeight="false" outlineLevel="0" collapsed="false">
      <c r="A329" s="2" t="n">
        <v>45740</v>
      </c>
      <c r="B329" s="3" t="n">
        <f aca="false">B328+E328</f>
        <v>167478.082191784</v>
      </c>
      <c r="C329" s="4"/>
      <c r="D329" s="3" t="n">
        <f aca="false">D328-C329</f>
        <v>115000</v>
      </c>
      <c r="E329" s="4" t="n">
        <f aca="false">D329*15%/365</f>
        <v>47.2602739726027</v>
      </c>
      <c r="F329" s="3" t="n">
        <f aca="false">F328+E329</f>
        <v>17525.3424657534</v>
      </c>
      <c r="G329" s="4"/>
    </row>
    <row r="330" customFormat="false" ht="15" hidden="false" customHeight="false" outlineLevel="0" collapsed="false">
      <c r="A330" s="2" t="n">
        <v>45741</v>
      </c>
      <c r="B330" s="3" t="n">
        <f aca="false">B329+E329</f>
        <v>167525.342465756</v>
      </c>
      <c r="C330" s="4"/>
      <c r="D330" s="3" t="n">
        <f aca="false">D329-C330</f>
        <v>115000</v>
      </c>
      <c r="E330" s="4" t="n">
        <f aca="false">D330*15%/365</f>
        <v>47.2602739726027</v>
      </c>
      <c r="F330" s="3" t="n">
        <f aca="false">F329+E330</f>
        <v>17572.602739726</v>
      </c>
      <c r="G330" s="4"/>
    </row>
    <row r="331" customFormat="false" ht="15" hidden="false" customHeight="false" outlineLevel="0" collapsed="false">
      <c r="A331" s="2" t="n">
        <v>45742</v>
      </c>
      <c r="B331" s="3" t="n">
        <f aca="false">B330+E330</f>
        <v>167572.602739729</v>
      </c>
      <c r="C331" s="4"/>
      <c r="D331" s="3" t="n">
        <f aca="false">D330-C331</f>
        <v>115000</v>
      </c>
      <c r="E331" s="4" t="n">
        <f aca="false">D331*15%/365</f>
        <v>47.2602739726027</v>
      </c>
      <c r="F331" s="3" t="n">
        <f aca="false">F330+E331</f>
        <v>17619.8630136986</v>
      </c>
      <c r="G331" s="4"/>
    </row>
    <row r="332" customFormat="false" ht="15" hidden="false" customHeight="false" outlineLevel="0" collapsed="false">
      <c r="A332" s="2" t="n">
        <v>45743</v>
      </c>
      <c r="B332" s="3" t="n">
        <f aca="false">B331+E331</f>
        <v>167619.863013701</v>
      </c>
      <c r="C332" s="4"/>
      <c r="D332" s="3" t="n">
        <f aca="false">D331-C332</f>
        <v>115000</v>
      </c>
      <c r="E332" s="4" t="n">
        <f aca="false">D332*15%/365</f>
        <v>47.2602739726027</v>
      </c>
      <c r="F332" s="3" t="n">
        <f aca="false">F331+E332</f>
        <v>17667.1232876712</v>
      </c>
      <c r="G332" s="4"/>
    </row>
    <row r="333" customFormat="false" ht="15" hidden="false" customHeight="false" outlineLevel="0" collapsed="false">
      <c r="A333" s="2" t="n">
        <v>45744</v>
      </c>
      <c r="B333" s="3" t="n">
        <f aca="false">B332+E332</f>
        <v>167667.123287674</v>
      </c>
      <c r="C333" s="4"/>
      <c r="D333" s="3" t="n">
        <f aca="false">D332-C333</f>
        <v>115000</v>
      </c>
      <c r="E333" s="4" t="n">
        <f aca="false">D333*15%/365</f>
        <v>47.2602739726027</v>
      </c>
      <c r="F333" s="3" t="n">
        <f aca="false">F332+E333</f>
        <v>17714.3835616438</v>
      </c>
      <c r="G333" s="4"/>
    </row>
    <row r="334" customFormat="false" ht="15" hidden="false" customHeight="false" outlineLevel="0" collapsed="false">
      <c r="A334" s="2" t="n">
        <v>45745</v>
      </c>
      <c r="B334" s="3" t="n">
        <f aca="false">B333+E333</f>
        <v>167714.383561647</v>
      </c>
      <c r="C334" s="4"/>
      <c r="D334" s="3" t="n">
        <f aca="false">D333-C334</f>
        <v>115000</v>
      </c>
      <c r="E334" s="4" t="n">
        <f aca="false">D334*15%/365</f>
        <v>47.2602739726027</v>
      </c>
      <c r="F334" s="3" t="n">
        <f aca="false">F333+E334</f>
        <v>17761.6438356164</v>
      </c>
      <c r="G334" s="4"/>
    </row>
    <row r="335" customFormat="false" ht="15" hidden="false" customHeight="false" outlineLevel="0" collapsed="false">
      <c r="A335" s="2" t="n">
        <v>45746</v>
      </c>
      <c r="B335" s="3" t="n">
        <f aca="false">B334+E334</f>
        <v>167761.643835619</v>
      </c>
      <c r="C335" s="4"/>
      <c r="D335" s="3" t="n">
        <f aca="false">D334-C335</f>
        <v>115000</v>
      </c>
      <c r="E335" s="4" t="n">
        <f aca="false">D335*15%/365</f>
        <v>47.2602739726027</v>
      </c>
      <c r="F335" s="3" t="n">
        <f aca="false">F334+E335</f>
        <v>17808.904109589</v>
      </c>
      <c r="G335" s="4"/>
    </row>
    <row r="336" customFormat="false" ht="15" hidden="false" customHeight="false" outlineLevel="0" collapsed="false">
      <c r="A336" s="2" t="n">
        <v>45747</v>
      </c>
      <c r="B336" s="3" t="n">
        <f aca="false">B335+E335</f>
        <v>167808.904109592</v>
      </c>
      <c r="C336" s="4"/>
      <c r="D336" s="3" t="n">
        <f aca="false">D335-C336</f>
        <v>115000</v>
      </c>
      <c r="E336" s="4" t="n">
        <f aca="false">D336*15%/365</f>
        <v>47.2602739726027</v>
      </c>
      <c r="F336" s="3" t="n">
        <f aca="false">F335+E336</f>
        <v>17856.1643835616</v>
      </c>
      <c r="G336" s="4"/>
    </row>
    <row r="337" customFormat="false" ht="15" hidden="false" customHeight="false" outlineLevel="0" collapsed="false">
      <c r="A337" s="2" t="n">
        <v>45748</v>
      </c>
      <c r="B337" s="3" t="n">
        <f aca="false">B336+E336</f>
        <v>167856.164383564</v>
      </c>
      <c r="C337" s="4"/>
      <c r="D337" s="3" t="n">
        <f aca="false">D336-C337</f>
        <v>115000</v>
      </c>
      <c r="E337" s="4" t="n">
        <f aca="false">D337*15%/365</f>
        <v>47.2602739726027</v>
      </c>
      <c r="F337" s="3" t="n">
        <f aca="false">F336+E337</f>
        <v>17903.4246575342</v>
      </c>
      <c r="G337" s="4"/>
    </row>
    <row r="338" customFormat="false" ht="15" hidden="false" customHeight="false" outlineLevel="0" collapsed="false">
      <c r="A338" s="2" t="n">
        <v>45749</v>
      </c>
      <c r="B338" s="3" t="n">
        <f aca="false">B337+E337</f>
        <v>167903.424657537</v>
      </c>
      <c r="C338" s="4"/>
      <c r="D338" s="3" t="n">
        <f aca="false">D337-C338</f>
        <v>115000</v>
      </c>
      <c r="E338" s="4" t="n">
        <f aca="false">D338*15%/365</f>
        <v>47.2602739726027</v>
      </c>
      <c r="F338" s="3" t="n">
        <f aca="false">F337+E338</f>
        <v>17950.6849315068</v>
      </c>
      <c r="G338" s="4"/>
    </row>
    <row r="339" customFormat="false" ht="15" hidden="false" customHeight="false" outlineLevel="0" collapsed="false">
      <c r="A339" s="2" t="n">
        <v>45750</v>
      </c>
      <c r="B339" s="3" t="n">
        <f aca="false">B338+E338</f>
        <v>167950.68493151</v>
      </c>
      <c r="C339" s="4"/>
      <c r="D339" s="3" t="n">
        <f aca="false">D338-C339</f>
        <v>115000</v>
      </c>
      <c r="E339" s="4" t="n">
        <f aca="false">D339*15%/365</f>
        <v>47.2602739726027</v>
      </c>
      <c r="F339" s="3" t="n">
        <f aca="false">F338+E339</f>
        <v>17997.9452054794</v>
      </c>
      <c r="G339" s="4"/>
    </row>
    <row r="340" customFormat="false" ht="15" hidden="false" customHeight="false" outlineLevel="0" collapsed="false">
      <c r="A340" s="2" t="n">
        <v>45751</v>
      </c>
      <c r="B340" s="3" t="n">
        <f aca="false">B339+E339</f>
        <v>167997.945205482</v>
      </c>
      <c r="C340" s="4"/>
      <c r="D340" s="3" t="n">
        <f aca="false">D339-C340</f>
        <v>115000</v>
      </c>
      <c r="E340" s="4" t="n">
        <f aca="false">D340*15%/365</f>
        <v>47.2602739726027</v>
      </c>
      <c r="F340" s="3" t="n">
        <f aca="false">F339+E340</f>
        <v>18045.205479452</v>
      </c>
      <c r="G340" s="4"/>
    </row>
    <row r="341" customFormat="false" ht="15" hidden="false" customHeight="false" outlineLevel="0" collapsed="false">
      <c r="A341" s="2" t="n">
        <v>45752</v>
      </c>
      <c r="B341" s="3" t="n">
        <f aca="false">B340+E340</f>
        <v>168045.205479455</v>
      </c>
      <c r="C341" s="4"/>
      <c r="D341" s="3" t="n">
        <f aca="false">D340-C341</f>
        <v>115000</v>
      </c>
      <c r="E341" s="4" t="n">
        <f aca="false">D341*15%/365</f>
        <v>47.2602739726027</v>
      </c>
      <c r="F341" s="3" t="n">
        <f aca="false">F340+E341</f>
        <v>18092.4657534246</v>
      </c>
      <c r="G341" s="4"/>
    </row>
    <row r="342" customFormat="false" ht="15" hidden="false" customHeight="false" outlineLevel="0" collapsed="false">
      <c r="A342" s="2" t="n">
        <v>45753</v>
      </c>
      <c r="B342" s="3" t="n">
        <f aca="false">B341+E341</f>
        <v>168092.465753428</v>
      </c>
      <c r="C342" s="4"/>
      <c r="D342" s="3" t="n">
        <f aca="false">D341-C342</f>
        <v>115000</v>
      </c>
      <c r="E342" s="4" t="n">
        <f aca="false">D342*15%/365</f>
        <v>47.2602739726027</v>
      </c>
      <c r="F342" s="3" t="n">
        <f aca="false">F341+E342</f>
        <v>18139.7260273972</v>
      </c>
      <c r="G342" s="4"/>
    </row>
    <row r="343" customFormat="false" ht="15" hidden="false" customHeight="false" outlineLevel="0" collapsed="false">
      <c r="A343" s="2" t="n">
        <v>45754</v>
      </c>
      <c r="B343" s="3" t="n">
        <f aca="false">B342+E342</f>
        <v>168139.7260274</v>
      </c>
      <c r="C343" s="4"/>
      <c r="D343" s="3" t="n">
        <f aca="false">D342-C343</f>
        <v>115000</v>
      </c>
      <c r="E343" s="4" t="n">
        <f aca="false">D343*15%/365</f>
        <v>47.2602739726027</v>
      </c>
      <c r="F343" s="3" t="n">
        <f aca="false">F342+E343</f>
        <v>18186.9863013698</v>
      </c>
      <c r="G343" s="4"/>
    </row>
    <row r="344" customFormat="false" ht="15" hidden="false" customHeight="false" outlineLevel="0" collapsed="false">
      <c r="A344" s="2" t="n">
        <v>45755</v>
      </c>
      <c r="B344" s="3" t="n">
        <f aca="false">B343+E343</f>
        <v>168186.986301373</v>
      </c>
      <c r="C344" s="4"/>
      <c r="D344" s="3" t="n">
        <f aca="false">D343-C344</f>
        <v>115000</v>
      </c>
      <c r="E344" s="4" t="n">
        <f aca="false">D344*15%/365</f>
        <v>47.2602739726027</v>
      </c>
      <c r="F344" s="3" t="n">
        <f aca="false">F343+E344</f>
        <v>18234.2465753424</v>
      </c>
      <c r="G344" s="4"/>
    </row>
    <row r="345" customFormat="false" ht="15" hidden="false" customHeight="false" outlineLevel="0" collapsed="false">
      <c r="A345" s="2" t="n">
        <v>45756</v>
      </c>
      <c r="B345" s="3" t="n">
        <f aca="false">B344+E344</f>
        <v>168234.246575345</v>
      </c>
      <c r="C345" s="4"/>
      <c r="D345" s="3" t="n">
        <f aca="false">D344-C345</f>
        <v>115000</v>
      </c>
      <c r="E345" s="4" t="n">
        <f aca="false">D345*15%/365</f>
        <v>47.2602739726027</v>
      </c>
      <c r="F345" s="3" t="n">
        <f aca="false">F344+E345</f>
        <v>18281.5068493151</v>
      </c>
      <c r="G345" s="4"/>
    </row>
    <row r="346" customFormat="false" ht="15" hidden="false" customHeight="false" outlineLevel="0" collapsed="false">
      <c r="A346" s="2" t="n">
        <v>45757</v>
      </c>
      <c r="B346" s="3" t="n">
        <f aca="false">B345+E345</f>
        <v>168281.506849318</v>
      </c>
      <c r="C346" s="4"/>
      <c r="D346" s="3" t="n">
        <f aca="false">D345-C346</f>
        <v>115000</v>
      </c>
      <c r="E346" s="4" t="n">
        <f aca="false">D346*15%/365</f>
        <v>47.2602739726027</v>
      </c>
      <c r="F346" s="3" t="n">
        <f aca="false">F345+E346</f>
        <v>18328.7671232877</v>
      </c>
      <c r="G346" s="4"/>
    </row>
    <row r="347" customFormat="false" ht="15" hidden="false" customHeight="false" outlineLevel="0" collapsed="false">
      <c r="A347" s="2" t="n">
        <v>45758</v>
      </c>
      <c r="B347" s="3" t="n">
        <f aca="false">B346+E346</f>
        <v>168328.767123291</v>
      </c>
      <c r="C347" s="4"/>
      <c r="D347" s="3" t="n">
        <f aca="false">D346-C347</f>
        <v>115000</v>
      </c>
      <c r="E347" s="4" t="n">
        <f aca="false">D347*15%/365</f>
        <v>47.2602739726027</v>
      </c>
      <c r="F347" s="3" t="n">
        <f aca="false">F346+E347</f>
        <v>18376.0273972603</v>
      </c>
      <c r="G347" s="4"/>
    </row>
    <row r="348" customFormat="false" ht="15" hidden="false" customHeight="false" outlineLevel="0" collapsed="false">
      <c r="A348" s="2" t="n">
        <v>45759</v>
      </c>
      <c r="B348" s="3" t="n">
        <f aca="false">B347+E347</f>
        <v>168376.027397263</v>
      </c>
      <c r="C348" s="4"/>
      <c r="D348" s="3" t="n">
        <f aca="false">D347-C348</f>
        <v>115000</v>
      </c>
      <c r="E348" s="4" t="n">
        <f aca="false">D348*15%/365</f>
        <v>47.2602739726027</v>
      </c>
      <c r="F348" s="3" t="n">
        <f aca="false">F347+E348</f>
        <v>18423.2876712329</v>
      </c>
      <c r="G348" s="4"/>
    </row>
    <row r="349" customFormat="false" ht="15" hidden="false" customHeight="false" outlineLevel="0" collapsed="false">
      <c r="A349" s="2" t="n">
        <v>45760</v>
      </c>
      <c r="B349" s="3" t="n">
        <f aca="false">B348+E348</f>
        <v>168423.287671236</v>
      </c>
      <c r="C349" s="4"/>
      <c r="D349" s="3" t="n">
        <f aca="false">D348-C349</f>
        <v>115000</v>
      </c>
      <c r="E349" s="4" t="n">
        <f aca="false">D349*15%/365</f>
        <v>47.2602739726027</v>
      </c>
      <c r="F349" s="3" t="n">
        <f aca="false">F348+E349</f>
        <v>18470.5479452055</v>
      </c>
      <c r="G349" s="4"/>
    </row>
    <row r="350" customFormat="false" ht="15" hidden="false" customHeight="false" outlineLevel="0" collapsed="false">
      <c r="A350" s="2" t="n">
        <v>45761</v>
      </c>
      <c r="B350" s="3" t="n">
        <f aca="false">B349+E349</f>
        <v>168470.547945208</v>
      </c>
      <c r="C350" s="4"/>
      <c r="D350" s="3" t="n">
        <f aca="false">D349-C350</f>
        <v>115000</v>
      </c>
      <c r="E350" s="4" t="n">
        <f aca="false">D350*15%/365</f>
        <v>47.2602739726027</v>
      </c>
      <c r="F350" s="3" t="n">
        <f aca="false">F349+E350</f>
        <v>18517.8082191781</v>
      </c>
      <c r="G350" s="4"/>
    </row>
    <row r="351" customFormat="false" ht="15" hidden="false" customHeight="false" outlineLevel="0" collapsed="false">
      <c r="A351" s="2" t="n">
        <v>45762</v>
      </c>
      <c r="B351" s="3" t="n">
        <f aca="false">B350+E350</f>
        <v>168517.808219181</v>
      </c>
      <c r="C351" s="4"/>
      <c r="D351" s="3" t="n">
        <f aca="false">D350-C351</f>
        <v>115000</v>
      </c>
      <c r="E351" s="4" t="n">
        <f aca="false">D351*15%/365</f>
        <v>47.2602739726027</v>
      </c>
      <c r="F351" s="3" t="n">
        <f aca="false">F350+E351</f>
        <v>18565.0684931507</v>
      </c>
      <c r="G351" s="4"/>
    </row>
    <row r="352" customFormat="false" ht="15" hidden="false" customHeight="false" outlineLevel="0" collapsed="false">
      <c r="A352" s="2" t="n">
        <v>45763</v>
      </c>
      <c r="B352" s="3" t="n">
        <f aca="false">B351+E351</f>
        <v>168565.068493154</v>
      </c>
      <c r="C352" s="4"/>
      <c r="D352" s="3" t="n">
        <f aca="false">D351-C352</f>
        <v>115000</v>
      </c>
      <c r="E352" s="4" t="n">
        <f aca="false">D352*15%/365</f>
        <v>47.2602739726027</v>
      </c>
      <c r="F352" s="3" t="n">
        <f aca="false">F351+E352</f>
        <v>18612.3287671233</v>
      </c>
      <c r="G352" s="4"/>
    </row>
    <row r="353" customFormat="false" ht="15" hidden="false" customHeight="false" outlineLevel="0" collapsed="false">
      <c r="A353" s="2" t="n">
        <v>45764</v>
      </c>
      <c r="B353" s="3" t="n">
        <f aca="false">B352+E352</f>
        <v>168612.328767126</v>
      </c>
      <c r="C353" s="4"/>
      <c r="D353" s="3" t="n">
        <f aca="false">D352-C353</f>
        <v>115000</v>
      </c>
      <c r="E353" s="4" t="n">
        <f aca="false">D353*15%/365</f>
        <v>47.2602739726027</v>
      </c>
      <c r="F353" s="3" t="n">
        <f aca="false">F352+E353</f>
        <v>18659.5890410959</v>
      </c>
      <c r="G353" s="4"/>
    </row>
    <row r="354" customFormat="false" ht="15" hidden="false" customHeight="false" outlineLevel="0" collapsed="false">
      <c r="A354" s="2" t="n">
        <v>45765</v>
      </c>
      <c r="B354" s="3" t="n">
        <f aca="false">B353+E353</f>
        <v>168659.589041099</v>
      </c>
      <c r="C354" s="4"/>
      <c r="D354" s="3" t="n">
        <f aca="false">D353-C354</f>
        <v>115000</v>
      </c>
      <c r="E354" s="4" t="n">
        <f aca="false">D354*15%/365</f>
        <v>47.2602739726027</v>
      </c>
      <c r="F354" s="3" t="n">
        <f aca="false">F353+E354</f>
        <v>18706.8493150685</v>
      </c>
      <c r="G354" s="4"/>
    </row>
    <row r="355" customFormat="false" ht="15" hidden="false" customHeight="false" outlineLevel="0" collapsed="false">
      <c r="A355" s="2" t="n">
        <v>45766</v>
      </c>
      <c r="B355" s="3" t="n">
        <f aca="false">B354+E354</f>
        <v>168706.849315072</v>
      </c>
      <c r="C355" s="4"/>
      <c r="D355" s="3" t="n">
        <f aca="false">D354-C355</f>
        <v>115000</v>
      </c>
      <c r="E355" s="4" t="n">
        <f aca="false">D355*15%/365</f>
        <v>47.2602739726027</v>
      </c>
      <c r="F355" s="3" t="n">
        <f aca="false">F354+E355</f>
        <v>18754.1095890411</v>
      </c>
      <c r="G355" s="4"/>
    </row>
    <row r="356" customFormat="false" ht="15" hidden="false" customHeight="false" outlineLevel="0" collapsed="false">
      <c r="A356" s="2" t="n">
        <v>45767</v>
      </c>
      <c r="B356" s="3" t="n">
        <f aca="false">B355+E355</f>
        <v>168754.109589044</v>
      </c>
      <c r="C356" s="4"/>
      <c r="D356" s="3" t="n">
        <f aca="false">D355-C356</f>
        <v>115000</v>
      </c>
      <c r="E356" s="4" t="n">
        <f aca="false">D356*15%/365</f>
        <v>47.2602739726027</v>
      </c>
      <c r="F356" s="3" t="n">
        <f aca="false">F355+E356</f>
        <v>18801.3698630137</v>
      </c>
      <c r="G356" s="4"/>
    </row>
    <row r="357" customFormat="false" ht="15" hidden="false" customHeight="false" outlineLevel="0" collapsed="false">
      <c r="A357" s="2" t="n">
        <v>45768</v>
      </c>
      <c r="B357" s="3" t="n">
        <f aca="false">B356+E356</f>
        <v>168801.369863017</v>
      </c>
      <c r="C357" s="4"/>
      <c r="D357" s="3" t="n">
        <f aca="false">D356-C357</f>
        <v>115000</v>
      </c>
      <c r="E357" s="4" t="n">
        <f aca="false">D357*15%/365</f>
        <v>47.2602739726027</v>
      </c>
      <c r="F357" s="3" t="n">
        <f aca="false">F356+E357</f>
        <v>18848.6301369863</v>
      </c>
      <c r="G357" s="4"/>
    </row>
    <row r="358" customFormat="false" ht="15" hidden="false" customHeight="false" outlineLevel="0" collapsed="false">
      <c r="A358" s="2" t="n">
        <v>45769</v>
      </c>
      <c r="B358" s="3" t="n">
        <f aca="false">B357+E357</f>
        <v>168848.630136989</v>
      </c>
      <c r="C358" s="4"/>
      <c r="D358" s="3" t="n">
        <f aca="false">D357-C358</f>
        <v>115000</v>
      </c>
      <c r="E358" s="4" t="n">
        <f aca="false">D358*15%/365</f>
        <v>47.2602739726027</v>
      </c>
      <c r="F358" s="3" t="n">
        <f aca="false">F357+E358</f>
        <v>18895.8904109589</v>
      </c>
      <c r="G358" s="4"/>
    </row>
    <row r="359" customFormat="false" ht="15" hidden="false" customHeight="false" outlineLevel="0" collapsed="false">
      <c r="A359" s="2" t="n">
        <v>45770</v>
      </c>
      <c r="B359" s="3" t="n">
        <f aca="false">B358+E358</f>
        <v>168895.890410962</v>
      </c>
      <c r="C359" s="4"/>
      <c r="D359" s="3" t="n">
        <f aca="false">D358-C359</f>
        <v>115000</v>
      </c>
      <c r="E359" s="4" t="n">
        <f aca="false">D359*15%/365</f>
        <v>47.2602739726027</v>
      </c>
      <c r="F359" s="3" t="n">
        <f aca="false">F358+E359</f>
        <v>18943.1506849315</v>
      </c>
      <c r="G359" s="4"/>
    </row>
    <row r="360" customFormat="false" ht="15" hidden="false" customHeight="false" outlineLevel="0" collapsed="false">
      <c r="A360" s="2" t="n">
        <v>45771</v>
      </c>
      <c r="B360" s="3" t="n">
        <f aca="false">B359+E359</f>
        <v>168943.150684935</v>
      </c>
      <c r="C360" s="4"/>
      <c r="D360" s="3" t="n">
        <f aca="false">D359-C360</f>
        <v>115000</v>
      </c>
      <c r="E360" s="4" t="n">
        <f aca="false">D360*15%/365</f>
        <v>47.2602739726027</v>
      </c>
      <c r="F360" s="3" t="n">
        <f aca="false">F359+E360</f>
        <v>18990.4109589041</v>
      </c>
      <c r="G360" s="4"/>
    </row>
    <row r="361" customFormat="false" ht="15" hidden="false" customHeight="false" outlineLevel="0" collapsed="false">
      <c r="A361" s="2" t="n">
        <v>45772</v>
      </c>
      <c r="B361" s="3" t="n">
        <f aca="false">B360+E360</f>
        <v>168990.410958907</v>
      </c>
      <c r="C361" s="4"/>
      <c r="D361" s="3" t="n">
        <f aca="false">D360-C361</f>
        <v>115000</v>
      </c>
      <c r="E361" s="4" t="n">
        <f aca="false">D361*15%/365</f>
        <v>47.2602739726027</v>
      </c>
      <c r="F361" s="3" t="n">
        <f aca="false">F360+E361</f>
        <v>19037.6712328767</v>
      </c>
      <c r="G361" s="4"/>
    </row>
    <row r="362" customFormat="false" ht="15" hidden="false" customHeight="false" outlineLevel="0" collapsed="false">
      <c r="A362" s="2" t="n">
        <v>45773</v>
      </c>
      <c r="B362" s="3" t="n">
        <f aca="false">B361+E361</f>
        <v>169037.67123288</v>
      </c>
      <c r="C362" s="4"/>
      <c r="D362" s="3" t="n">
        <f aca="false">D361-C362</f>
        <v>115000</v>
      </c>
      <c r="E362" s="4" t="n">
        <f aca="false">D362*15%/365</f>
        <v>47.2602739726027</v>
      </c>
      <c r="F362" s="3" t="n">
        <f aca="false">F361+E362</f>
        <v>19084.9315068493</v>
      </c>
      <c r="G362" s="4"/>
    </row>
    <row r="363" customFormat="false" ht="15" hidden="false" customHeight="false" outlineLevel="0" collapsed="false">
      <c r="A363" s="2" t="n">
        <v>45774</v>
      </c>
      <c r="B363" s="3" t="n">
        <f aca="false">B362+E362</f>
        <v>169084.931506852</v>
      </c>
      <c r="C363" s="4"/>
      <c r="D363" s="3" t="n">
        <f aca="false">D362-C363</f>
        <v>115000</v>
      </c>
      <c r="E363" s="4" t="n">
        <f aca="false">D363*15%/365</f>
        <v>47.2602739726027</v>
      </c>
      <c r="F363" s="3" t="n">
        <f aca="false">F362+E363</f>
        <v>19132.1917808219</v>
      </c>
      <c r="G363" s="4"/>
    </row>
    <row r="364" customFormat="false" ht="15" hidden="false" customHeight="false" outlineLevel="0" collapsed="false">
      <c r="A364" s="2" t="n">
        <v>45775</v>
      </c>
      <c r="B364" s="3" t="n">
        <f aca="false">B363+E363</f>
        <v>169132.191780825</v>
      </c>
      <c r="C364" s="4"/>
      <c r="D364" s="3" t="n">
        <f aca="false">D363-C364</f>
        <v>115000</v>
      </c>
      <c r="E364" s="4" t="n">
        <f aca="false">D364*15%/365</f>
        <v>47.2602739726027</v>
      </c>
      <c r="F364" s="3" t="n">
        <f aca="false">F363+E364</f>
        <v>19179.4520547945</v>
      </c>
      <c r="G364" s="4"/>
    </row>
    <row r="365" customFormat="false" ht="15" hidden="false" customHeight="false" outlineLevel="0" collapsed="false">
      <c r="A365" s="2" t="n">
        <v>45776</v>
      </c>
      <c r="B365" s="3" t="n">
        <f aca="false">B364+E364</f>
        <v>169179.452054798</v>
      </c>
      <c r="C365" s="4"/>
      <c r="D365" s="3" t="n">
        <f aca="false">D364-C365</f>
        <v>115000</v>
      </c>
      <c r="E365" s="4" t="n">
        <f aca="false">D365*15%/365</f>
        <v>47.2602739726027</v>
      </c>
      <c r="F365" s="3" t="n">
        <f aca="false">F364+E365</f>
        <v>19226.7123287671</v>
      </c>
      <c r="G365" s="4"/>
    </row>
    <row r="366" customFormat="false" ht="15" hidden="false" customHeight="false" outlineLevel="0" collapsed="false">
      <c r="A366" s="2" t="n">
        <v>45777</v>
      </c>
      <c r="B366" s="3" t="n">
        <f aca="false">B365+E365</f>
        <v>169226.71232877</v>
      </c>
      <c r="C366" s="4"/>
      <c r="D366" s="3" t="n">
        <f aca="false">D365-C366</f>
        <v>115000</v>
      </c>
      <c r="E366" s="4" t="n">
        <f aca="false">D366*15%/365</f>
        <v>47.2602739726027</v>
      </c>
      <c r="F366" s="3" t="n">
        <f aca="false">F365+E366</f>
        <v>19273.9726027397</v>
      </c>
      <c r="G366" s="4"/>
    </row>
    <row r="367" customFormat="false" ht="15" hidden="false" customHeight="false" outlineLevel="0" collapsed="false">
      <c r="A367" s="2" t="n">
        <v>45778</v>
      </c>
      <c r="B367" s="3" t="n">
        <f aca="false">B366+E366</f>
        <v>169273.972602743</v>
      </c>
      <c r="C367" s="4"/>
      <c r="D367" s="3" t="n">
        <f aca="false">D366-C367</f>
        <v>115000</v>
      </c>
      <c r="E367" s="4" t="n">
        <f aca="false">D367*15%/365</f>
        <v>47.2602739726027</v>
      </c>
      <c r="F367" s="3" t="n">
        <f aca="false">F366+E367</f>
        <v>19321.2328767123</v>
      </c>
      <c r="G367" s="4"/>
    </row>
    <row r="368" customFormat="false" ht="15" hidden="false" customHeight="false" outlineLevel="0" collapsed="false">
      <c r="A368" s="2"/>
      <c r="B368" s="3"/>
      <c r="C368" s="4"/>
      <c r="D368" s="3"/>
      <c r="E368" s="4"/>
      <c r="F368" s="4"/>
      <c r="G368" s="4"/>
    </row>
    <row r="370" customFormat="false" ht="15" hidden="false" customHeight="false" outlineLevel="0" collapsed="false">
      <c r="B370" s="0" t="s">
        <v>8</v>
      </c>
      <c r="C370" s="3" t="n">
        <f aca="false">SUM(C2:C367)</f>
        <v>35000</v>
      </c>
      <c r="D370" s="5"/>
    </row>
    <row r="371" customFormat="false" ht="23.85" hidden="false" customHeight="false" outlineLevel="0" collapsed="false">
      <c r="B371" s="6" t="s">
        <v>9</v>
      </c>
      <c r="C371" s="3" t="n">
        <f aca="false">SUM(G2:G367)</f>
        <v>6000</v>
      </c>
    </row>
    <row r="372" customFormat="false" ht="23.85" hidden="false" customHeight="false" outlineLevel="0" collapsed="false">
      <c r="B372" s="0" t="s">
        <v>10</v>
      </c>
      <c r="C372" s="3" t="n">
        <f aca="false">F367</f>
        <v>19321.2328767123</v>
      </c>
      <c r="G372" s="6" t="s">
        <v>11</v>
      </c>
    </row>
    <row r="373" customFormat="false" ht="15" hidden="false" customHeight="false" outlineLevel="0" collapsed="false">
      <c r="B373" s="0" t="s">
        <v>12</v>
      </c>
      <c r="C373" s="3" t="n">
        <f aca="false">C372-C371</f>
        <v>13321.2328767123</v>
      </c>
      <c r="G373" s="0" t="n">
        <f aca="false">B2*0.15</f>
        <v>22500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LibreOffice/24.8.7.2$Windows_X86_64 LibreOffice_project/e07d0a63a46349d29051da79b1fde8160bab2a89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2025-06-18T08:43:21Z</dcterms:created>
  <dc:creator/>
  <dc:description/>
  <dc:language>pl-PL</dc:language>
  <cp:lastModifiedBy/>
  <dcterms:modified xsi:type="dcterms:W3CDTF">2025-06-18T12:06:22Z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